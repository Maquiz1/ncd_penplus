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0" windowWidth="19200" windowHeight="7245" activeTab="2"/>
  </bookViews>
  <sheets>
    <sheet name="Instructions" sheetId="1" r:id="rId1"/>
    <sheet name="Alternate reporting template" sheetId="4" state="hidden" r:id="rId2"/>
    <sheet name="Core indicators_clinic1" sheetId="12" r:id="rId3"/>
    <sheet name="Core indicators_clinic2" sheetId="13" r:id="rId4"/>
    <sheet name="PEN-Plus Expansion Narrative" sheetId="14" r:id="rId5"/>
    <sheet name="Core indicators_Definitions" sheetId="3" r:id="rId6"/>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2" i="13" l="1"/>
  <c r="G96" i="12"/>
  <c r="G94" i="12"/>
  <c r="G78" i="12"/>
  <c r="G63" i="12"/>
  <c r="G78" i="13" l="1"/>
  <c r="G96" i="13"/>
  <c r="G94" i="13"/>
  <c r="G63" i="13"/>
  <c r="I20" i="13" l="1"/>
  <c r="I20" i="12"/>
  <c r="I31" i="13"/>
  <c r="I8" i="13"/>
  <c r="I32" i="12"/>
  <c r="I31" i="12"/>
  <c r="I8" i="12"/>
  <c r="F117" i="13"/>
  <c r="E117" i="13"/>
  <c r="D117" i="13"/>
  <c r="C117" i="13"/>
  <c r="F116" i="13"/>
  <c r="E116" i="13"/>
  <c r="D116" i="13"/>
  <c r="C116" i="13"/>
  <c r="F115" i="13"/>
  <c r="E115" i="13"/>
  <c r="D115" i="13"/>
  <c r="C115" i="13"/>
  <c r="F113" i="13"/>
  <c r="E113" i="13"/>
  <c r="D113" i="13"/>
  <c r="C113" i="13"/>
  <c r="F112" i="13"/>
  <c r="E112" i="13"/>
  <c r="D112" i="13"/>
  <c r="C112" i="13"/>
  <c r="F108" i="13"/>
  <c r="E108" i="13"/>
  <c r="D108" i="13"/>
  <c r="C108" i="13"/>
  <c r="F107" i="13"/>
  <c r="E107" i="13"/>
  <c r="D107" i="13"/>
  <c r="C107" i="13"/>
  <c r="F105" i="13"/>
  <c r="E105" i="13"/>
  <c r="D105" i="13"/>
  <c r="C105" i="13"/>
  <c r="F103" i="13"/>
  <c r="E103" i="13"/>
  <c r="D103" i="13"/>
  <c r="C103" i="13"/>
  <c r="G97" i="13"/>
  <c r="G95" i="13"/>
  <c r="G93" i="13"/>
  <c r="G92" i="13"/>
  <c r="G91" i="13"/>
  <c r="G90" i="13"/>
  <c r="G89" i="13"/>
  <c r="G88" i="13"/>
  <c r="G87" i="13"/>
  <c r="G86" i="13"/>
  <c r="G85" i="13"/>
  <c r="G84" i="13"/>
  <c r="G83" i="13"/>
  <c r="G82" i="13"/>
  <c r="G81" i="13"/>
  <c r="G79" i="13"/>
  <c r="G77" i="13"/>
  <c r="G76" i="13"/>
  <c r="G75" i="13"/>
  <c r="G74" i="13"/>
  <c r="G73" i="13"/>
  <c r="G72" i="13"/>
  <c r="G71" i="13"/>
  <c r="G70" i="13"/>
  <c r="G69" i="13"/>
  <c r="G68" i="13"/>
  <c r="G67" i="13"/>
  <c r="G66" i="13"/>
  <c r="G65" i="13"/>
  <c r="G64" i="13"/>
  <c r="G62" i="13"/>
  <c r="G61" i="13"/>
  <c r="G60" i="13"/>
  <c r="G59" i="13"/>
  <c r="G58" i="13"/>
  <c r="G57" i="13"/>
  <c r="G56" i="13"/>
  <c r="G55" i="13"/>
  <c r="G54" i="13"/>
  <c r="G53" i="13"/>
  <c r="G52" i="13"/>
  <c r="G51" i="13"/>
  <c r="G50" i="13"/>
  <c r="G26" i="13"/>
  <c r="F21" i="13"/>
  <c r="F104" i="13" s="1"/>
  <c r="E21" i="13"/>
  <c r="E104" i="13" s="1"/>
  <c r="D104" i="13"/>
  <c r="C104" i="13"/>
  <c r="G19" i="13"/>
  <c r="G18" i="13"/>
  <c r="G17" i="13"/>
  <c r="G16" i="13"/>
  <c r="G15" i="13"/>
  <c r="G14" i="13"/>
  <c r="F13" i="13"/>
  <c r="E13" i="13"/>
  <c r="F10" i="13"/>
  <c r="E10" i="13"/>
  <c r="G8" i="13"/>
  <c r="D117" i="12"/>
  <c r="E117" i="12"/>
  <c r="F117" i="12"/>
  <c r="C117" i="12"/>
  <c r="D116" i="12"/>
  <c r="E116" i="12"/>
  <c r="F116" i="12"/>
  <c r="C116" i="12"/>
  <c r="D115" i="12"/>
  <c r="E115" i="12"/>
  <c r="F115" i="12"/>
  <c r="C115" i="12"/>
  <c r="E21" i="12"/>
  <c r="F21" i="12"/>
  <c r="G13" i="13" l="1"/>
  <c r="G21" i="13"/>
  <c r="G104" i="13" s="1"/>
  <c r="G97" i="12"/>
  <c r="G95" i="12"/>
  <c r="G93" i="12"/>
  <c r="G92" i="12"/>
  <c r="G91" i="12"/>
  <c r="G90" i="12"/>
  <c r="G89" i="12"/>
  <c r="G88" i="12"/>
  <c r="G87" i="12"/>
  <c r="G86" i="12"/>
  <c r="G85" i="12"/>
  <c r="G84" i="12"/>
  <c r="G83" i="12"/>
  <c r="G82" i="12"/>
  <c r="G81" i="12"/>
  <c r="G79" i="12"/>
  <c r="G77" i="12"/>
  <c r="G76" i="12"/>
  <c r="G75" i="12"/>
  <c r="G74" i="12"/>
  <c r="G73" i="12"/>
  <c r="G72" i="12"/>
  <c r="G71" i="12"/>
  <c r="G70" i="12"/>
  <c r="G69" i="12"/>
  <c r="G68" i="12"/>
  <c r="G67" i="12"/>
  <c r="G66" i="12"/>
  <c r="G65" i="12"/>
  <c r="G64" i="12"/>
  <c r="G62" i="12"/>
  <c r="G61" i="12"/>
  <c r="G60" i="12"/>
  <c r="G59" i="12"/>
  <c r="G58" i="12"/>
  <c r="G57" i="12"/>
  <c r="G56" i="12"/>
  <c r="G55" i="12"/>
  <c r="G54" i="12"/>
  <c r="G53" i="12"/>
  <c r="G52" i="12"/>
  <c r="G51" i="12"/>
  <c r="G50" i="12"/>
  <c r="G26" i="12"/>
  <c r="G21" i="12"/>
  <c r="G19" i="12"/>
  <c r="G18" i="12"/>
  <c r="G17" i="12"/>
  <c r="G16" i="12"/>
  <c r="G15" i="12"/>
  <c r="G14" i="12"/>
  <c r="F13" i="12"/>
  <c r="E13" i="12"/>
  <c r="F10" i="12"/>
  <c r="E10" i="12"/>
  <c r="G8" i="12"/>
  <c r="G13" i="12" l="1"/>
  <c r="D107" i="12"/>
  <c r="E107" i="12"/>
  <c r="F107" i="12"/>
  <c r="D108" i="12"/>
  <c r="E108" i="12"/>
  <c r="F108" i="12"/>
  <c r="C108" i="12"/>
  <c r="C107" i="12"/>
  <c r="F113" i="12" l="1"/>
  <c r="D113" i="12"/>
  <c r="C113" i="12"/>
  <c r="E113" i="12"/>
  <c r="C112" i="12"/>
  <c r="D112" i="12"/>
  <c r="F112" i="12"/>
  <c r="E112" i="12"/>
  <c r="E105" i="12"/>
  <c r="D105" i="12"/>
  <c r="C105" i="12"/>
  <c r="F105" i="12"/>
  <c r="F104" i="12"/>
  <c r="D104" i="12"/>
  <c r="C104" i="12"/>
  <c r="E104" i="12"/>
  <c r="F103" i="12"/>
  <c r="C103" i="12"/>
  <c r="D103" i="12"/>
  <c r="E103" i="12"/>
  <c r="G104" i="12"/>
</calcChain>
</file>

<file path=xl/sharedStrings.xml><?xml version="1.0" encoding="utf-8"?>
<sst xmlns="http://schemas.openxmlformats.org/spreadsheetml/2006/main" count="1122" uniqueCount="383">
  <si>
    <t>What are Core indicators?</t>
  </si>
  <si>
    <t xml:space="preserve">Core indicators are the basic level of patient enrollment and outcomes with which we will start. These also likely represent a set of indicators that might be similar for national HMIS planning. We selected a set of indicators that is possible to do in a paper-based system at the outset. We also highlighted a few things in the data and indicators that will help stimulate conversation around the PEN-Plus model, severe NCDs, and a few of the conditions. Acknowledging that true targets for some of these indicators may be difficult to ascertain at the start, but having us all review this data together will help spark conversation and additional questions as well as learning during implementation. </t>
  </si>
  <si>
    <t> </t>
  </si>
  <si>
    <t>Quarterly Report 2022 [Q1]</t>
  </si>
  <si>
    <t>Site</t>
  </si>
  <si>
    <t>January 1, 2022- March 30, 2022</t>
  </si>
  <si>
    <t>Country</t>
  </si>
  <si>
    <t>Health Systems Reporting</t>
  </si>
  <si>
    <t>Q1</t>
  </si>
  <si>
    <t>Q2</t>
  </si>
  <si>
    <t>Q3</t>
  </si>
  <si>
    <t>Q4</t>
  </si>
  <si>
    <t>YTD</t>
  </si>
  <si>
    <t>Target</t>
  </si>
  <si>
    <t xml:space="preserve">n </t>
  </si>
  <si>
    <t>n</t>
  </si>
  <si>
    <t>If applicable</t>
  </si>
  <si>
    <t>PPF1</t>
  </si>
  <si>
    <t>PPF1.1</t>
  </si>
  <si>
    <t>PPF2</t>
  </si>
  <si>
    <t>Mid level providers currently enrolled in training</t>
  </si>
  <si>
    <t>PPF2.1</t>
  </si>
  <si>
    <t>Mid level providers enrolled in e-learning course</t>
  </si>
  <si>
    <t>PPF2.2</t>
  </si>
  <si>
    <t>Mid level providers enrolled in in-person didactic course</t>
  </si>
  <si>
    <t>PPF3</t>
  </si>
  <si>
    <t>PPF4</t>
  </si>
  <si>
    <t>Trained providers working in PEN-Plus clinics 6 months post training*</t>
  </si>
  <si>
    <t>n/a</t>
  </si>
  <si>
    <t>PPF5</t>
  </si>
  <si>
    <t>Stock out days for key drugs</t>
  </si>
  <si>
    <t>Clinical Data Reporting</t>
  </si>
  <si>
    <t>PP0</t>
  </si>
  <si>
    <t>Patients ever enrolled at PEN Plus clinics</t>
  </si>
  <si>
    <t>PP1</t>
  </si>
  <si>
    <t xml:space="preserve"> Patients active at PEN Plus clinic</t>
  </si>
  <si>
    <t>PP1.1</t>
  </si>
  <si>
    <t>Type 1 Diabetes</t>
  </si>
  <si>
    <t>PP1.2</t>
  </si>
  <si>
    <t>Type 2 Diabetes</t>
  </si>
  <si>
    <t>PP1.3</t>
  </si>
  <si>
    <t>Rheumatic Heart Disease</t>
  </si>
  <si>
    <t>PP1.4</t>
  </si>
  <si>
    <t>Cardiac Conditions, Heart Failure</t>
  </si>
  <si>
    <t>PP1.5</t>
  </si>
  <si>
    <t>Hypertension</t>
  </si>
  <si>
    <t>PP1.6</t>
  </si>
  <si>
    <t>Cardiac Conditions, Other</t>
  </si>
  <si>
    <t>PP1.7</t>
  </si>
  <si>
    <t>Sickle Cell Anemia</t>
  </si>
  <si>
    <t>PP1.8</t>
  </si>
  <si>
    <t>Chronic Respiratory Disease</t>
  </si>
  <si>
    <t>PP1.9</t>
  </si>
  <si>
    <t>Other Condition</t>
  </si>
  <si>
    <t>PP2</t>
  </si>
  <si>
    <t>Active patients &lt; 18 years</t>
  </si>
  <si>
    <t>PP3</t>
  </si>
  <si>
    <t>Active female patients</t>
  </si>
  <si>
    <t>Active patients who had a visit within the last 3 months</t>
  </si>
  <si>
    <t>PP4</t>
  </si>
  <si>
    <t>New patients enrolled in last quarter</t>
  </si>
  <si>
    <t>PP5</t>
  </si>
  <si>
    <t>PP6</t>
  </si>
  <si>
    <t>PP6.1</t>
  </si>
  <si>
    <t>PP6.2</t>
  </si>
  <si>
    <t>PP6.3</t>
  </si>
  <si>
    <t>PP6.4</t>
  </si>
  <si>
    <t>PP6.5</t>
  </si>
  <si>
    <t>PP6.6</t>
  </si>
  <si>
    <t>PP6.7</t>
  </si>
  <si>
    <t>PP6.8</t>
  </si>
  <si>
    <t>PP6.9</t>
  </si>
  <si>
    <t>PP7</t>
  </si>
  <si>
    <t>Patients deaths ever</t>
  </si>
  <si>
    <t>PP8</t>
  </si>
  <si>
    <t>Patient deaths reported in the last 3 months</t>
  </si>
  <si>
    <t>PP8.1</t>
  </si>
  <si>
    <t>PP8.2</t>
  </si>
  <si>
    <t>PP8.3</t>
  </si>
  <si>
    <t>PP8.4</t>
  </si>
  <si>
    <t>PP8.5</t>
  </si>
  <si>
    <t>PP8.6</t>
  </si>
  <si>
    <t>PP8.7</t>
  </si>
  <si>
    <t>PP8.8</t>
  </si>
  <si>
    <t>PP8.9</t>
  </si>
  <si>
    <t>PP9</t>
  </si>
  <si>
    <t>CORE INDICATORS TO BE CALCULATED</t>
  </si>
  <si>
    <t>Health facility indicators</t>
  </si>
  <si>
    <t>% trained providers working in PEN-Plus</t>
  </si>
  <si>
    <t>Stock out days per quarter</t>
  </si>
  <si>
    <t>% of patients actively enrolled</t>
  </si>
  <si>
    <t>Pen Plus Indicator (Of actively enrolled patients)</t>
  </si>
  <si>
    <t>% of diabetes patients who have Type 1</t>
  </si>
  <si>
    <t>% of cardiac patients with RHD</t>
  </si>
  <si>
    <t>% of target for T1D</t>
  </si>
  <si>
    <t>TBD</t>
  </si>
  <si>
    <t>% of target for RHD</t>
  </si>
  <si>
    <t>% of target for SCD</t>
  </si>
  <si>
    <t>% of patients &lt;18 years</t>
  </si>
  <si>
    <t>% of patients who are female</t>
  </si>
  <si>
    <t>% of patients who died this quarter</t>
  </si>
  <si>
    <t>DATA DEFINITIONS FOR QUARTERLY INDICATORS</t>
  </si>
  <si>
    <t>PEN Plus Data Element</t>
  </si>
  <si>
    <t>Definitions</t>
  </si>
  <si>
    <t>Country specific definition (if applicable)</t>
  </si>
  <si>
    <t>Notes</t>
  </si>
  <si>
    <t xml:space="preserve"> PEN Plus clinics reporting this quarter</t>
  </si>
  <si>
    <t>The number of PEN Plus clinics reporting data for the last 3 months</t>
  </si>
  <si>
    <t>Mid-level providers trained in PEN Plus clinic(s)</t>
  </si>
  <si>
    <t>ALL mid-level providers fully trained in PEN Plus care at this clinic. This may include providers who no longer work in PEN Plus.</t>
  </si>
  <si>
    <t>Mid-level providers trained and working in PEN Plus clinic(s)</t>
  </si>
  <si>
    <t>The number of mid-level providers fully trained and currently working in PEN Plus care at this clinic</t>
  </si>
  <si>
    <t>The number of mid-level providers who are currently enrolled in an e-learning PEN-Plus course</t>
  </si>
  <si>
    <t>The number of mid-level providers who are currently enrolled in an in-person didactic PEN-Plus course</t>
  </si>
  <si>
    <t>Free text for detail</t>
  </si>
  <si>
    <t>The number of fully trained providers that continue to work in PEN-Plus clinics 6 months after the completion of their training</t>
  </si>
  <si>
    <t>Key drugs for this particular country/clinic include XX,XX, XX</t>
  </si>
  <si>
    <t>All patients that were ever enrolled at this PEN Plus clinic</t>
  </si>
  <si>
    <t>Of all active patients, the number of patients that are diagnosed with Type 1 Diabetes</t>
  </si>
  <si>
    <t xml:space="preserve">Please note this targets are simply to stimulate discussion on core PEN-Plus conditions to make sure we are keeping track of enrolments for severe conditions. </t>
  </si>
  <si>
    <t>Of all active patients, the number of patients that are diagnosed with Type 2 Diabetes</t>
  </si>
  <si>
    <t>Note model presumes all or almost all patients with Type 2 are on insulin. Please note or feel free to disaggregate further if that is not the case.</t>
  </si>
  <si>
    <t>Of all active patients, the number of patients that are diagnosed with Rheumatic Heart disease</t>
  </si>
  <si>
    <t>Of all active patients, the number of patients that are diagnosed with severe uncontrolled Hypertension (above 140/90 mm Hg)</t>
  </si>
  <si>
    <t>Note that PEN-Plus assumes this is for severe uncontrolled hypertension or hypertension with other complications; if applicable please disaggregate by routine (PEN) hypertension and the more severe patients requiring hospital-level care (PEN-Plus). Please flag if your country uses a different definition for hypertension.</t>
  </si>
  <si>
    <t>Of all active patients, the number of patients that are diagnosed with a Cardiac condition other than HF anf RHD</t>
  </si>
  <si>
    <t>Of all active patients, the number of patients that are diagnosed with a Sickle Cell Anemia</t>
  </si>
  <si>
    <t>Assuming relevant for local epidemiology.</t>
  </si>
  <si>
    <t>Of all active patients, the number of patients that are diagnosed with Chronic Respiratory Disease</t>
  </si>
  <si>
    <t>Note that PEN-Plus assumes this is for severe respiratory disease; if applicable please disaggregate by routine (PEN) and severe (PEN-Plus) respiratory disease.</t>
  </si>
  <si>
    <t>Of all active patients, the number of patients that are diagnosed with other severe NCD</t>
  </si>
  <si>
    <t>Chronic Kidney Disease, Chronic Liver Disease, Others (further disaggregation to specify is definitely allowable if a site prefers)</t>
  </si>
  <si>
    <t>Of all active patients, the number of patients that are less than 18 years old</t>
  </si>
  <si>
    <t>Of all active patients, the number of patients that are female</t>
  </si>
  <si>
    <t>Active patients who visited the PEN-Plus clinic during the last 3 months</t>
  </si>
  <si>
    <t>Note that a patient maybe considered "active" even if they did not have a visit in the last 3 months. But, # active patients should always be equal to greater than this number;</t>
  </si>
  <si>
    <t>The number of new patients enrolled in the last 3 months</t>
  </si>
  <si>
    <t>Number of new patients diagnosed with Type 1 Diabetes</t>
  </si>
  <si>
    <t>Number of new patients diagnosed with Type 2 Diabetes</t>
  </si>
  <si>
    <t>Number of new patients diagnosed with Rheumatic Heart Disease</t>
  </si>
  <si>
    <t>Number of new patients diagnosed with Heart Failure</t>
  </si>
  <si>
    <t>Number of new patients diagnosed with Hypertension</t>
  </si>
  <si>
    <t>Number of new patients diagnosed with a cardiac condition other than RHD and Heart Failure</t>
  </si>
  <si>
    <t>Number of new patients diagnosed with Sickle Cell Anemia other than RHD and Heart Failure</t>
  </si>
  <si>
    <t>Number of new patients diagnosed with Chronic Respiratory Disease</t>
  </si>
  <si>
    <t>Number of new patients diagnosed with any other severe NCD</t>
  </si>
  <si>
    <t>Number of patients who died</t>
  </si>
  <si>
    <t>Number of patients who died during the last 3 months</t>
  </si>
  <si>
    <t>Patients who died with Type 1 Diabetes</t>
  </si>
  <si>
    <t>Patients who died with Type 2 Diabetes</t>
  </si>
  <si>
    <t>Patients who died with Rheumatic Heart Disease</t>
  </si>
  <si>
    <t>Patients who died with Heart Failure</t>
  </si>
  <si>
    <t>Patients who died with Hypertension</t>
  </si>
  <si>
    <t>Patients who died with Cardiac condition other than RHD and HF</t>
  </si>
  <si>
    <t>Patients who died with Sickle Cell Anemia</t>
  </si>
  <si>
    <t>Patients who died with Chronic Respiratory Disease</t>
  </si>
  <si>
    <t>Patients who died with other severe NCD</t>
  </si>
  <si>
    <t>If this data is possible</t>
  </si>
  <si>
    <t>Pen Plus Indicator</t>
  </si>
  <si>
    <t>Denominator</t>
  </si>
  <si>
    <t>Proportion of Diabetes patients who have Type 1 Diabetes</t>
  </si>
  <si>
    <t>PP1.1 + PP1.2</t>
  </si>
  <si>
    <t>Proportion of Cardiac patients with RHD</t>
  </si>
  <si>
    <r>
      <t xml:space="preserve">PP1.3 + PP1.4 + </t>
    </r>
    <r>
      <rPr>
        <sz val="12"/>
        <rFont val="Calibri (Body)"/>
      </rPr>
      <t>PP1.5</t>
    </r>
    <r>
      <rPr>
        <sz val="12"/>
        <rFont val="Calibri"/>
        <family val="2"/>
        <scheme val="minor"/>
      </rPr>
      <t xml:space="preserve"> + </t>
    </r>
    <r>
      <rPr>
        <sz val="12"/>
        <rFont val="Calibri (Body)"/>
      </rPr>
      <t>PP1.6</t>
    </r>
  </si>
  <si>
    <t>Proportion of active patients below the age of 18 years</t>
  </si>
  <si>
    <t>Proportion of active patients who are female</t>
  </si>
  <si>
    <t>PEN-Plus Core indicator Report</t>
  </si>
  <si>
    <t>Quarter Highlights</t>
  </si>
  <si>
    <t>&gt; 2-3 bullet points about what stood out OR                                                                                                                                                                                                                                                           &gt; Highlight numbers/% that had considerable improvement this quarter</t>
  </si>
  <si>
    <t>In the last 3 months:</t>
  </si>
  <si>
    <t>d</t>
  </si>
  <si>
    <t>%</t>
  </si>
  <si>
    <t>n / %</t>
  </si>
  <si>
    <t>https://apricot.socialsolutions.com/report/run/report_id/1080</t>
  </si>
  <si>
    <t>Mid-level providers trained in this PEN Plus clinic</t>
  </si>
  <si>
    <t>Mentorship visits by specialists</t>
  </si>
  <si>
    <t>Overall Patient counts</t>
  </si>
  <si>
    <t>Total # of patients ever enrolled at PEN Plus clinics</t>
  </si>
  <si>
    <t>https://apricot.socialsolutions.com/report/run/report_id/1081</t>
  </si>
  <si>
    <t>#patients who had a visit in the last 3 months</t>
  </si>
  <si>
    <t>Total # of active patients at PEN Plus clinic</t>
  </si>
  <si>
    <t># of active patients &lt; 18 years</t>
  </si>
  <si>
    <t># of active female patients</t>
  </si>
  <si>
    <t># of new patients enrolled in last quarter</t>
  </si>
  <si>
    <t># of patients defaulted, ever</t>
  </si>
  <si>
    <t># of patients defaulted, in last quarter</t>
  </si>
  <si>
    <t># of patients died, ever</t>
  </si>
  <si>
    <t># of patients died, reported in last quarter</t>
  </si>
  <si>
    <t># of patients hospitalized in last quarter</t>
  </si>
  <si>
    <t>Patients ever enrolled at this PEN Plus clinic  (N= XX)</t>
  </si>
  <si>
    <t>Patients ACTIVE at this PEN Plus clinic  (N= XX)</t>
  </si>
  <si>
    <t>Patients who DEFAULTED at this PEN Plus clinic  (N= XX)</t>
  </si>
  <si>
    <t>Patients who DIED (N= XX)</t>
  </si>
  <si>
    <t>% of diabetes patients who have Type 2</t>
  </si>
  <si>
    <t>1.  The initial core indicators for the PEN-Plus program</t>
  </si>
  <si>
    <t>2.  Narrative report on the progress, challenges, and next steps.</t>
  </si>
  <si>
    <t>Instructions</t>
  </si>
  <si>
    <t>* Before filling out anything on this sheet, please make sure that at least 2 personnel have had an introductory overview of the indicators with the central team. Please note that we should work together to ensure all conditions your PEN-Plus clinic is caring for are included in the core indicators.</t>
  </si>
  <si>
    <t>Please follow the following checklist to see whether you are on track</t>
  </si>
  <si>
    <t>PEN-Plus Core Indicators Report</t>
  </si>
  <si>
    <t>Mid level providers fully trained and currently working in PEN Plus clinic(s)</t>
  </si>
  <si>
    <t>Mid level providers currently enrolled in e-learning course</t>
  </si>
  <si>
    <t>Mid level providers currently enrolled in in-person didactic course</t>
  </si>
  <si>
    <t>Mid level providers currently enrolled in classroom or didactic training</t>
  </si>
  <si>
    <t>Patient deaths ever</t>
  </si>
  <si>
    <t>PP1.10</t>
  </si>
  <si>
    <t>Chronic Kidney Disease</t>
  </si>
  <si>
    <t>Chronic Liver Disease</t>
  </si>
  <si>
    <t>PP1.11</t>
  </si>
  <si>
    <t>PP5.1</t>
  </si>
  <si>
    <t>PP5.2</t>
  </si>
  <si>
    <t>PP5.3</t>
  </si>
  <si>
    <t>PP5.4</t>
  </si>
  <si>
    <t>PP5.5</t>
  </si>
  <si>
    <t>PP5.6</t>
  </si>
  <si>
    <t>PP5.7</t>
  </si>
  <si>
    <t>PP5.8</t>
  </si>
  <si>
    <t>PP5.9</t>
  </si>
  <si>
    <t>PP5.10</t>
  </si>
  <si>
    <t>PP5.11</t>
  </si>
  <si>
    <t>YOU DO NOT NEED TO COMPLETE ANYTHING BELOW THIS POINT</t>
  </si>
  <si>
    <t xml:space="preserve">PEN- Plus QUARTERLY REPORTING </t>
  </si>
  <si>
    <t>Welcome! This document is a template to report every quarter on the progress of the PEN-Plus project. There are two components to do (the yellow tabs):</t>
  </si>
  <si>
    <t>PPF6</t>
  </si>
  <si>
    <t>Other: ___________________</t>
  </si>
  <si>
    <t>PPF3.1</t>
  </si>
  <si>
    <t>PPF3.2</t>
  </si>
  <si>
    <t>PPF3.3</t>
  </si>
  <si>
    <t>PPF3.4</t>
  </si>
  <si>
    <t>PPF3.5</t>
  </si>
  <si>
    <t>PPF3.6</t>
  </si>
  <si>
    <t>Cardiologist days</t>
  </si>
  <si>
    <t>Endocrinologist days</t>
  </si>
  <si>
    <t>Hematologist days</t>
  </si>
  <si>
    <t>Internist days</t>
  </si>
  <si>
    <t>Pediatrician days</t>
  </si>
  <si>
    <t>Target*</t>
  </si>
  <si>
    <t>% of diabetes patients who have Type 1 (of all diabetes patients)</t>
  </si>
  <si>
    <t>% of patients actively enrolled (active patients as proportion of those ever enrolled)</t>
  </si>
  <si>
    <t>Stock out days per quarter (drugs)</t>
  </si>
  <si>
    <r>
      <t xml:space="preserve">% trained providers working in PEN-Plus </t>
    </r>
    <r>
      <rPr>
        <i/>
        <sz val="14"/>
        <color theme="1"/>
        <rFont val="Calibri"/>
        <family val="2"/>
        <scheme val="minor"/>
      </rPr>
      <t>(those work in PEN-Plus out of all trained for PEN-Plus)</t>
    </r>
  </si>
  <si>
    <r>
      <t>Pen Plus Indicator (Of actively enrolled</t>
    </r>
    <r>
      <rPr>
        <b/>
        <sz val="14"/>
        <color rgb="FFFF0000"/>
        <rFont val="Calibri (Body)"/>
      </rPr>
      <t xml:space="preserve"> condition specific </t>
    </r>
    <r>
      <rPr>
        <b/>
        <sz val="14"/>
        <color theme="1"/>
        <rFont val="Calibri"/>
        <family val="2"/>
        <scheme val="minor"/>
      </rPr>
      <t>patients)</t>
    </r>
  </si>
  <si>
    <t>Average or YTD</t>
  </si>
  <si>
    <t>Unspecified/Gestational Diabetes</t>
  </si>
  <si>
    <t xml:space="preserve">Other/ Unspecified Cardiac Condition </t>
  </si>
  <si>
    <t>Congenital Heart Disease</t>
  </si>
  <si>
    <t>PP1.12</t>
  </si>
  <si>
    <t>PP1.13</t>
  </si>
  <si>
    <t>PP5.12</t>
  </si>
  <si>
    <t>PP5.13</t>
  </si>
  <si>
    <t>Clinic name:</t>
  </si>
  <si>
    <r>
      <t xml:space="preserve">1. Fill out a separate "Core indicators" sheet for each clinic with the help of the tally sheet available </t>
    </r>
    <r>
      <rPr>
        <sz val="14"/>
        <color rgb="FFFF0000"/>
        <rFont val="Calibri"/>
        <family val="2"/>
        <scheme val="minor"/>
      </rPr>
      <t>[link to tallysheet</t>
    </r>
    <r>
      <rPr>
        <sz val="14"/>
        <color theme="1"/>
        <rFont val="Calibri"/>
        <family val="2"/>
        <scheme val="minor"/>
      </rPr>
      <t xml:space="preserve">]. </t>
    </r>
    <r>
      <rPr>
        <i/>
        <sz val="14"/>
        <color theme="1"/>
        <rFont val="Calibri"/>
        <family val="2"/>
        <scheme val="minor"/>
      </rPr>
      <t>Use the appropriate column for the quarter for which you are reporting data. E.g. Q1 = Jan-Mar; etc.</t>
    </r>
  </si>
  <si>
    <t>Heart Failure*</t>
  </si>
  <si>
    <t>% of target for T1D**</t>
  </si>
  <si>
    <t>% of target for RHD**</t>
  </si>
  <si>
    <t>% of target for SCD**</t>
  </si>
  <si>
    <t>**To work on site-specific targets for T1D, RHD, and SCD with PEN-Plus Expert Groups</t>
  </si>
  <si>
    <t>*Please exclude Rheumatic and Congenital disease related Heart failure in the count for Heart Failure</t>
  </si>
  <si>
    <t>Mentorship visit-days this quarter to the PEN-Plus clinic(s) by specialists</t>
  </si>
  <si>
    <t>The number of mentorship visit-days made by PEN-Plus specialists to this clinic</t>
  </si>
  <si>
    <t>The number of mid-level providers that are currently enrolled in a PEN-Plus training course</t>
  </si>
  <si>
    <t>PP6.10</t>
  </si>
  <si>
    <t>PP6.11</t>
  </si>
  <si>
    <t>PP6.12</t>
  </si>
  <si>
    <t>PP6.13</t>
  </si>
  <si>
    <t>PP8.10</t>
  </si>
  <si>
    <t>PP8.11</t>
  </si>
  <si>
    <t>PP8.12</t>
  </si>
  <si>
    <t>PP8.13</t>
  </si>
  <si>
    <t>Of all active patients, the number of patients that are diagnosed with Gestational Diabetes, or have unspecified Diabetes (yet to be determined if it is Type 1 or Type 2)</t>
  </si>
  <si>
    <t>Other unspecified Cardiac Condition</t>
  </si>
  <si>
    <t>Of all active patients, the number of patients that are diagnosed with Congenital Heart disease</t>
  </si>
  <si>
    <t>Of all active patients, the number of patients that are diagnosed with Heart failure. *Please exclude Rheumatic and Congenital Heart failure in the count for Heart Failure</t>
  </si>
  <si>
    <t>Of all active patients, the number of patients that are diagnosed with Chronic Kidney Disease</t>
  </si>
  <si>
    <t>Of all active patients, the number of patients that are diagnosed with Chronic Liver Disease</t>
  </si>
  <si>
    <t>Number of new patients diagnosed with Congenital Heart Disease</t>
  </si>
  <si>
    <t>Number of patients that are diagnosed with Gestational Diabetes, or have unspecified Diabetes (yet to be determined if it is Type 1 or Type 2)</t>
  </si>
  <si>
    <t>Patients who died with Gestational or unspecified Diabetes</t>
  </si>
  <si>
    <t>Patients who died with Congenital Heart Disease</t>
  </si>
  <si>
    <t>Patients who died with Chronic Kidney Disease</t>
  </si>
  <si>
    <t>Patients who died with Chronic Liver Disease</t>
  </si>
  <si>
    <t>% trained providers working in PEN-Plus (those work in PEN-Plus out of all trained for PEN-Plus)</t>
  </si>
  <si>
    <t>% of patients who reported hospitalizations within the last year</t>
  </si>
  <si>
    <t>Proportion of trained providers working in a PEN-Plus clinic</t>
  </si>
  <si>
    <t>PPF1 (Cumulative)</t>
  </si>
  <si>
    <t>90 days</t>
  </si>
  <si>
    <t>Proportion of stock out days for drugs in a quarter</t>
  </si>
  <si>
    <t>Proportion of patients ever enrolled that are actively receiving care at a PEN-Plus clinic</t>
  </si>
  <si>
    <t>Patients who had a visit within the last 3 months</t>
  </si>
  <si>
    <t>Patients lost to follow up in the last 3 months</t>
  </si>
  <si>
    <t>New patients enrolled in the last 3 months</t>
  </si>
  <si>
    <t>Stock out days for key equipment and/or reagents during the last 3 months</t>
  </si>
  <si>
    <t>Stock out days for key drugs during the last 3 months</t>
  </si>
  <si>
    <t>% of patients who died in the last 3 months</t>
  </si>
  <si>
    <t>Mentorship visit days in the last 3 months to the PEN-Plus clinic(s) by specialists (total)</t>
  </si>
  <si>
    <t>Number of patients who newly met the definition of "loss to follow" in the last quarter</t>
  </si>
  <si>
    <r>
      <t xml:space="preserve">Most countries define loss to followup as a patient who has not had a visit 60 days (8 weeks) from their </t>
    </r>
    <r>
      <rPr>
        <b/>
        <i/>
        <sz val="12"/>
        <color theme="1"/>
        <rFont val="Calibri"/>
        <family val="2"/>
        <scheme val="minor"/>
      </rPr>
      <t>scheduled visit</t>
    </r>
  </si>
  <si>
    <t>Patients with Type 1 Diabetes who were lost to follow up</t>
  </si>
  <si>
    <t>Patients with Type 2 Diabetes who were lost to follow up</t>
  </si>
  <si>
    <t>Patients with Gestational Diabetes or unspecified Diabetes (yet to be determined if it is Type 1 or Type 2) who were lost to follow up</t>
  </si>
  <si>
    <t>Patients with Rheumatic Heart Disease who were lost to follow up</t>
  </si>
  <si>
    <t>Patients with Congenital Heart Disease who were lost to follow up</t>
  </si>
  <si>
    <t>Patients with Heart Failure who were lost to follow up</t>
  </si>
  <si>
    <t>Patients with  a cardiac condition other than RHD and Heart Failure who were lost to follow up</t>
  </si>
  <si>
    <t>Patients with Hypertension who were lost to follow up</t>
  </si>
  <si>
    <t>Patients with Sickle Cell Anemia who were lost to follow up</t>
  </si>
  <si>
    <t>Patients with Chronic Respiratory Disease who were lost to follow up</t>
  </si>
  <si>
    <t>Patients with Chronic Kidney Disease who were lost to follow up</t>
  </si>
  <si>
    <t>Patients with Chronic Liver Disease who were lost to follow up</t>
  </si>
  <si>
    <t>Patients with other severe NCD who were lost to follow up</t>
  </si>
  <si>
    <t>% of active patients who were lost to follow up in the last 3 months</t>
  </si>
  <si>
    <t>All patients enrolled in care at the PEN Plus who have not been lost to follow up, transferred out, or died.</t>
  </si>
  <si>
    <t>Generally defined as a patient enrolled in care who has not been lost to follow-up, transferred out, or died.</t>
  </si>
  <si>
    <t>PEN-Plus Expansion Narrative Report</t>
  </si>
  <si>
    <t>Organization:</t>
  </si>
  <si>
    <t>Respondent Name:</t>
  </si>
  <si>
    <t>Submission Date:</t>
  </si>
  <si>
    <r>
      <t xml:space="preserve">Patients who reported hospitalizations </t>
    </r>
    <r>
      <rPr>
        <sz val="14"/>
        <color rgb="FFFF0000"/>
        <rFont val="Calibri (Body)"/>
      </rPr>
      <t xml:space="preserve">within the 3 months </t>
    </r>
  </si>
  <si>
    <r>
      <t xml:space="preserve">% of patients who reported hospitalizations </t>
    </r>
    <r>
      <rPr>
        <sz val="14"/>
        <color rgb="FFFF0000"/>
        <rFont val="Calibri (Body)"/>
      </rPr>
      <t>within the last 3 months</t>
    </r>
  </si>
  <si>
    <t>Trained providers working in PEN-Plus clinics 6 months post training</t>
  </si>
  <si>
    <t>PPF5.1</t>
  </si>
  <si>
    <t>PPF5.2</t>
  </si>
  <si>
    <t>PPF5.3</t>
  </si>
  <si>
    <t>PPF5.4</t>
  </si>
  <si>
    <t>Long acting insulin</t>
  </si>
  <si>
    <t>Short acting insulin</t>
  </si>
  <si>
    <t>Hydroxyurea</t>
  </si>
  <si>
    <t>ACE- inhibitors</t>
  </si>
  <si>
    <t>PP10</t>
  </si>
  <si>
    <t>Patients who were transferred out in the last 3 months</t>
  </si>
  <si>
    <t>Mid level providers ever trained for PEN Plus at this clinic</t>
  </si>
  <si>
    <r>
      <t>Pen Plus Indicator (Of ever enrolled</t>
    </r>
    <r>
      <rPr>
        <b/>
        <sz val="14"/>
        <color rgb="FFFF0000"/>
        <rFont val="Calibri (Body)"/>
      </rPr>
      <t xml:space="preserve"> </t>
    </r>
    <r>
      <rPr>
        <b/>
        <sz val="14"/>
        <color theme="1"/>
        <rFont val="Calibri"/>
        <family val="2"/>
        <scheme val="minor"/>
      </rPr>
      <t>patients)</t>
    </r>
  </si>
  <si>
    <t>% of patients who were lost to follow up this quarter</t>
  </si>
  <si>
    <t>PP1.14</t>
  </si>
  <si>
    <t>Thalessemia</t>
  </si>
  <si>
    <t>PP5.14</t>
  </si>
  <si>
    <t>PP6.14</t>
  </si>
  <si>
    <t>PP8.14</t>
  </si>
  <si>
    <t>Of all active patients, the number of patients that are diagnosed with Thalessemia</t>
  </si>
  <si>
    <t>Patients with Thalessemia who were lost to follow up</t>
  </si>
  <si>
    <t>Patients who died with Thalessemia</t>
  </si>
  <si>
    <t>Patients who were hospitalized in the last 3 months</t>
  </si>
  <si>
    <t xml:space="preserve">Patients who were transferred to receive care outside of the PEN-Plus clinic </t>
  </si>
  <si>
    <t>Proportion of enrolled patients who were lost to follow up in the last 3 months</t>
  </si>
  <si>
    <t>Proportion of enrolled patients who died in the last 3 months</t>
  </si>
  <si>
    <t>Proportion of enrolled patients who were hospitalized in the last 3 months</t>
  </si>
  <si>
    <t>Quarterly Report 2024</t>
  </si>
  <si>
    <t>Jan-Mar 2024</t>
  </si>
  <si>
    <t>Apr-Jun 2024</t>
  </si>
  <si>
    <t>Jul-Sept 2024</t>
  </si>
  <si>
    <t>Oct-Dec 2024</t>
  </si>
  <si>
    <t>Thalassemia</t>
  </si>
  <si>
    <t>2. Please fill out Q2 numbers in the same sheet as Q1. Just update the top dates left box with Q2 dates. For example: April 1, 2024 to June 30, 2024</t>
  </si>
  <si>
    <t xml:space="preserve">3. Fill out "PEN-Plus Expansion Narrative" sheet. </t>
  </si>
  <si>
    <r>
      <t xml:space="preserve">4. Submit completed Excel workbook to </t>
    </r>
    <r>
      <rPr>
        <sz val="14"/>
        <color rgb="FFC00000"/>
        <rFont val="Calibri (Body)"/>
      </rPr>
      <t>Dev Salvi (dds@bwh.harvard.edu) and Katia Domingues (kdomingues@bwh.harvard.edu)</t>
    </r>
    <r>
      <rPr>
        <sz val="14"/>
        <color theme="1"/>
        <rFont val="Calibri"/>
        <family val="2"/>
        <scheme val="minor"/>
      </rPr>
      <t xml:space="preserve"> every 3 months; we will provide the specific dates in advance. </t>
    </r>
  </si>
  <si>
    <t xml:space="preserve">5. Participate in the PEN Plus community meetings and events to expand to other levels of indicators to include elements of disease severity, disease control, treatment regimens, data quality, and more, as data systems allow. </t>
  </si>
  <si>
    <t>6. Ask questions, provide feedback and make suggestions at any time during the project!</t>
  </si>
  <si>
    <t>Data Checks</t>
  </si>
  <si>
    <t>Stock out days for key Equipment</t>
  </si>
  <si>
    <t>July 1, 2024 to September 30, 2024</t>
  </si>
  <si>
    <t>Note: Please use the prompts below to reflect on how data collection, storage, use and reporting.</t>
  </si>
  <si>
    <t>Total number of stock out days for key drugs. This list may be different for each clinic but should include long acting insulin, short acting insulin, hydroxyurea and ACE- inhibitors at the minimum</t>
  </si>
  <si>
    <t>Total number of stock out days for key equipment and/or reagents during the last 3 months</t>
  </si>
  <si>
    <t xml:space="preserve">Key drugs should  include long acting insulin, short acting insulin, hydroxyurea and ACE- inhibitors.Total should not add to more than 90 days. </t>
  </si>
  <si>
    <t xml:space="preserve">Total should not add to more than 90 days. </t>
  </si>
  <si>
    <r>
      <t xml:space="preserve">Please use this space this quarter to review and reflect on the way data was </t>
    </r>
    <r>
      <rPr>
        <b/>
        <i/>
        <u/>
        <sz val="16"/>
        <color rgb="FFC00000"/>
        <rFont val="Calibri (Body)"/>
      </rPr>
      <t xml:space="preserve">collected </t>
    </r>
    <r>
      <rPr>
        <b/>
        <i/>
        <sz val="16"/>
        <color rgb="FFC00000"/>
        <rFont val="Calibri"/>
        <family val="2"/>
        <scheme val="minor"/>
      </rPr>
      <t>this quarter</t>
    </r>
  </si>
  <si>
    <t>Please use this space this quarter to review and reflect on the way data was reporrted this quarter</t>
  </si>
  <si>
    <r>
      <t>Text Response</t>
    </r>
    <r>
      <rPr>
        <sz val="14"/>
        <rFont val="Calibri"/>
        <family val="2"/>
        <scheme val="minor"/>
      </rPr>
      <t xml:space="preserve"> How do you access the stored data to complete the quarterly report? If not already covered, did you rely on paper registers/files, a digital system, or a combination of both for this report?</t>
    </r>
  </si>
  <si>
    <r>
      <t xml:space="preserve">Please use this space this quarter to review and reflect on the way data was </t>
    </r>
    <r>
      <rPr>
        <b/>
        <i/>
        <u/>
        <sz val="16"/>
        <color rgb="FFC00000"/>
        <rFont val="Calibri (Body)"/>
      </rPr>
      <t xml:space="preserve">extracted and reported </t>
    </r>
    <r>
      <rPr>
        <b/>
        <i/>
        <sz val="16"/>
        <color rgb="FFC00000"/>
        <rFont val="Calibri"/>
        <family val="2"/>
        <scheme val="minor"/>
      </rPr>
      <t>this quarter</t>
    </r>
  </si>
  <si>
    <r>
      <t xml:space="preserve">Text Response: </t>
    </r>
    <r>
      <rPr>
        <sz val="14"/>
        <rFont val="Calibri"/>
        <family val="2"/>
        <scheme val="minor"/>
      </rPr>
      <t xml:space="preserve"> What steps do you follow when aggregating PEN Plus data and calculating the relevant indicators?</t>
    </r>
    <r>
      <rPr>
        <b/>
        <sz val="14"/>
        <rFont val="Calibri"/>
        <family val="2"/>
        <scheme val="minor"/>
      </rPr>
      <t xml:space="preserve"> </t>
    </r>
    <r>
      <rPr>
        <sz val="14"/>
        <rFont val="Calibri"/>
        <family val="2"/>
        <scheme val="minor"/>
      </rPr>
      <t xml:space="preserve">Could you walk us through the reporting process. </t>
    </r>
  </si>
  <si>
    <r>
      <t xml:space="preserve">Check all that Apply: </t>
    </r>
    <r>
      <rPr>
        <sz val="14"/>
        <rFont val="Calibri"/>
        <family val="2"/>
        <scheme val="minor"/>
      </rPr>
      <t>What tools did you use to help complete this report?</t>
    </r>
  </si>
  <si>
    <r>
      <t xml:space="preserve">Text Response: </t>
    </r>
    <r>
      <rPr>
        <sz val="14"/>
        <rFont val="Calibri"/>
        <family val="2"/>
        <scheme val="minor"/>
      </rPr>
      <t>How many people work together during the quarterly report process, and what are their clinic roles?</t>
    </r>
  </si>
  <si>
    <r>
      <t xml:space="preserve">Text Response: </t>
    </r>
    <r>
      <rPr>
        <sz val="14"/>
        <rFont val="Calibri"/>
        <family val="2"/>
        <scheme val="minor"/>
      </rPr>
      <t xml:space="preserve">Do the same people/person report each quarter? </t>
    </r>
  </si>
  <si>
    <r>
      <t xml:space="preserve">Text Response: </t>
    </r>
    <r>
      <rPr>
        <sz val="14"/>
        <rFont val="Calibri"/>
        <family val="2"/>
        <scheme val="minor"/>
      </rPr>
      <t>How could we better support you during reporting / what are the hardest parts of reporting?</t>
    </r>
  </si>
  <si>
    <t>Objective: We seek to understand your data systems, collection processes, and reporting methods to provide better support and improve data quality.</t>
  </si>
  <si>
    <r>
      <t>Check all that Apply:</t>
    </r>
    <r>
      <rPr>
        <i/>
        <sz val="16"/>
        <color theme="1"/>
        <rFont val="Calibri"/>
        <family val="2"/>
        <scheme val="minor"/>
      </rPr>
      <t xml:space="preserve"> Please use this space this quarter to review and reflect on the way data was </t>
    </r>
    <r>
      <rPr>
        <i/>
        <u/>
        <sz val="16"/>
        <color theme="1"/>
        <rFont val="Calibri (Body)"/>
      </rPr>
      <t xml:space="preserve">collected </t>
    </r>
    <r>
      <rPr>
        <i/>
        <sz val="16"/>
        <color theme="1"/>
        <rFont val="Calibri"/>
        <family val="2"/>
        <scheme val="minor"/>
      </rPr>
      <t xml:space="preserve">this quarter. </t>
    </r>
  </si>
  <si>
    <r>
      <t>Text Response:</t>
    </r>
    <r>
      <rPr>
        <sz val="14"/>
        <rFont val="Calibri"/>
        <family val="2"/>
        <scheme val="minor"/>
      </rPr>
      <t xml:space="preserve"> Please describe the order/ workflow for which data is collected and stored. </t>
    </r>
  </si>
  <si>
    <r>
      <t xml:space="preserve">Text Response: </t>
    </r>
    <r>
      <rPr>
        <sz val="14"/>
        <rFont val="Calibri"/>
        <family val="2"/>
        <scheme val="minor"/>
      </rPr>
      <t xml:space="preserve">How did you determine </t>
    </r>
    <r>
      <rPr>
        <u/>
        <sz val="14"/>
        <rFont val="Calibri (Body)"/>
      </rPr>
      <t>"lost to follow up"</t>
    </r>
    <r>
      <rPr>
        <sz val="14"/>
        <rFont val="Calibri"/>
        <family val="2"/>
        <scheme val="minor"/>
      </rPr>
      <t xml:space="preserve"> for this quarter's report?</t>
    </r>
  </si>
  <si>
    <r>
      <t xml:space="preserve">True = Data calculates correctly; False = either this quarter or last quarter was incorrect; </t>
    </r>
    <r>
      <rPr>
        <b/>
        <sz val="11"/>
        <color theme="1"/>
        <rFont val="Calibri (Body)"/>
      </rPr>
      <t>Wait until all data is entered before using the data check column.</t>
    </r>
  </si>
  <si>
    <r>
      <t xml:space="preserve">True = Data calculates correctly; False = either this quarter or last quarter was incorrect; </t>
    </r>
    <r>
      <rPr>
        <b/>
        <sz val="11"/>
        <color theme="1"/>
        <rFont val="Calibri (Body)"/>
      </rPr>
      <t>Wait until all data is entered before using the data check column</t>
    </r>
  </si>
  <si>
    <t>Kondoa</t>
  </si>
  <si>
    <t>Tanzania</t>
  </si>
  <si>
    <t>Karatu</t>
  </si>
</sst>
</file>

<file path=xl/styles.xml><?xml version="1.0" encoding="utf-8"?>
<styleSheet xmlns="http://schemas.openxmlformats.org/spreadsheetml/2006/main" xmlns:mc="http://schemas.openxmlformats.org/markup-compatibility/2006" xmlns:x14ac="http://schemas.microsoft.com/office/spreadsheetml/2009/9/ac" mc:Ignorable="x14ac">
  <fonts count="73">
    <font>
      <sz val="11"/>
      <color theme="1"/>
      <name val="Calibri"/>
      <family val="2"/>
      <scheme val="minor"/>
    </font>
    <font>
      <b/>
      <sz val="12"/>
      <color theme="1"/>
      <name val="Calibri"/>
      <family val="2"/>
      <scheme val="minor"/>
    </font>
    <font>
      <sz val="12"/>
      <color rgb="FF000000"/>
      <name val="Calibri"/>
      <family val="2"/>
    </font>
    <font>
      <b/>
      <sz val="18"/>
      <color theme="1"/>
      <name val="Calibri"/>
      <family val="2"/>
      <scheme val="minor"/>
    </font>
    <font>
      <b/>
      <i/>
      <sz val="12"/>
      <color theme="1"/>
      <name val="Calibri"/>
      <family val="2"/>
      <scheme val="minor"/>
    </font>
    <font>
      <i/>
      <sz val="12"/>
      <color theme="1"/>
      <name val="Calibri"/>
      <family val="2"/>
      <scheme val="minor"/>
    </font>
    <font>
      <sz val="12"/>
      <name val="Calibri"/>
      <family val="2"/>
      <scheme val="minor"/>
    </font>
    <font>
      <sz val="12"/>
      <name val="Calibri (Body)"/>
    </font>
    <font>
      <sz val="12"/>
      <color theme="1"/>
      <name val="Calibri"/>
      <family val="2"/>
      <scheme val="minor"/>
    </font>
    <font>
      <sz val="11"/>
      <color rgb="FF000000"/>
      <name val="Omnes"/>
    </font>
    <font>
      <sz val="9"/>
      <name val="Omnes"/>
    </font>
    <font>
      <sz val="12"/>
      <color rgb="FF000000"/>
      <name val="Calibri"/>
      <family val="2"/>
    </font>
    <font>
      <b/>
      <sz val="16"/>
      <color rgb="FF548235"/>
      <name val="Calibri"/>
      <family val="2"/>
    </font>
    <font>
      <b/>
      <sz val="11"/>
      <color theme="1"/>
      <name val="Calibri"/>
      <family val="2"/>
      <scheme val="minor"/>
    </font>
    <font>
      <sz val="11"/>
      <color rgb="FF000000"/>
      <name val="Calibri"/>
      <family val="2"/>
    </font>
    <font>
      <sz val="9"/>
      <name val="Calibri"/>
      <family val="2"/>
    </font>
    <font>
      <sz val="11"/>
      <color theme="1"/>
      <name val="Calibri"/>
      <family val="2"/>
    </font>
    <font>
      <sz val="18"/>
      <name val="Calibri"/>
      <family val="2"/>
    </font>
    <font>
      <sz val="10"/>
      <name val="Calibri"/>
      <family val="2"/>
    </font>
    <font>
      <sz val="11"/>
      <color rgb="FF52A291"/>
      <name val="Calibri"/>
      <family val="2"/>
    </font>
    <font>
      <sz val="12"/>
      <color theme="1"/>
      <name val="Calibri"/>
      <family val="2"/>
    </font>
    <font>
      <sz val="14"/>
      <color theme="1" tint="0.249977111117893"/>
      <name val="Calibri"/>
      <family val="2"/>
    </font>
    <font>
      <sz val="11"/>
      <name val="Calibri"/>
      <family val="2"/>
    </font>
    <font>
      <sz val="14"/>
      <color rgb="FFFFFFFF"/>
      <name val="Calibri"/>
      <family val="2"/>
    </font>
    <font>
      <b/>
      <sz val="11"/>
      <color theme="1"/>
      <name val="Calibri"/>
      <family val="2"/>
    </font>
    <font>
      <b/>
      <sz val="12"/>
      <name val="Calibri"/>
      <family val="2"/>
    </font>
    <font>
      <sz val="11"/>
      <color theme="1"/>
      <name val="Calibri"/>
      <family val="2"/>
    </font>
    <font>
      <sz val="11"/>
      <name val="Calibri"/>
      <family val="2"/>
    </font>
    <font>
      <b/>
      <sz val="18"/>
      <name val="Omnes"/>
    </font>
    <font>
      <b/>
      <sz val="11"/>
      <color rgb="FF000000"/>
      <name val="Calibri"/>
      <family val="2"/>
    </font>
    <font>
      <b/>
      <sz val="10"/>
      <name val="Omnes"/>
    </font>
    <font>
      <b/>
      <sz val="11"/>
      <color rgb="FF000000"/>
      <name val="Omnes"/>
    </font>
    <font>
      <sz val="12"/>
      <color theme="1"/>
      <name val="Calibri"/>
      <family val="2"/>
    </font>
    <font>
      <b/>
      <sz val="14"/>
      <color theme="1"/>
      <name val="Calibri"/>
      <family val="2"/>
      <scheme val="minor"/>
    </font>
    <font>
      <b/>
      <sz val="18"/>
      <color theme="1"/>
      <name val="Calibri (Body)"/>
    </font>
    <font>
      <sz val="18"/>
      <color rgb="FF000000"/>
      <name val="Calibri (Body)"/>
    </font>
    <font>
      <sz val="14"/>
      <color theme="1"/>
      <name val="Calibri"/>
      <family val="2"/>
      <scheme val="minor"/>
    </font>
    <font>
      <i/>
      <sz val="14"/>
      <color theme="1"/>
      <name val="Calibri"/>
      <family val="2"/>
      <scheme val="minor"/>
    </font>
    <font>
      <b/>
      <sz val="14"/>
      <color theme="0"/>
      <name val="Calibri"/>
      <family val="2"/>
      <scheme val="minor"/>
    </font>
    <font>
      <b/>
      <sz val="20"/>
      <color rgb="FF548235"/>
      <name val="Calibri Light"/>
      <family val="2"/>
      <scheme val="major"/>
    </font>
    <font>
      <b/>
      <sz val="14"/>
      <color rgb="FF000000"/>
      <name val="Calibri"/>
      <family val="2"/>
    </font>
    <font>
      <b/>
      <sz val="14"/>
      <color theme="1"/>
      <name val="Calibri"/>
      <family val="2"/>
    </font>
    <font>
      <sz val="14"/>
      <color rgb="FFC00000"/>
      <name val="Calibri (Body)"/>
    </font>
    <font>
      <b/>
      <i/>
      <sz val="14"/>
      <color theme="1"/>
      <name val="Calibri"/>
      <family val="2"/>
      <scheme val="minor"/>
    </font>
    <font>
      <b/>
      <sz val="16"/>
      <color theme="0"/>
      <name val="Calibri"/>
      <family val="2"/>
      <scheme val="minor"/>
    </font>
    <font>
      <b/>
      <sz val="14"/>
      <color rgb="FFFF0000"/>
      <name val="Calibri (Body)"/>
    </font>
    <font>
      <sz val="14"/>
      <color rgb="FFFF0000"/>
      <name val="Calibri (Body)"/>
    </font>
    <font>
      <b/>
      <sz val="24"/>
      <color rgb="FFFF0000"/>
      <name val="Calibri"/>
      <family val="2"/>
      <scheme val="minor"/>
    </font>
    <font>
      <sz val="8"/>
      <name val="Calibri"/>
      <family val="2"/>
      <scheme val="minor"/>
    </font>
    <font>
      <sz val="14"/>
      <color rgb="FFFF0000"/>
      <name val="Calibri"/>
      <family val="2"/>
      <scheme val="minor"/>
    </font>
    <font>
      <b/>
      <sz val="12"/>
      <color theme="1"/>
      <name val="Calibri"/>
      <family val="2"/>
    </font>
    <font>
      <b/>
      <sz val="14"/>
      <color theme="1"/>
      <name val="Calibri (Body)"/>
    </font>
    <font>
      <sz val="14"/>
      <color theme="1"/>
      <name val="Calibri (Body)"/>
    </font>
    <font>
      <sz val="14"/>
      <color rgb="FF000000"/>
      <name val="Calibri (Body)"/>
    </font>
    <font>
      <b/>
      <sz val="20"/>
      <name val="Calibri"/>
      <family val="2"/>
      <scheme val="minor"/>
    </font>
    <font>
      <sz val="13.5"/>
      <color rgb="FF000000"/>
      <name val="Times New Roman"/>
      <family val="1"/>
    </font>
    <font>
      <b/>
      <sz val="14"/>
      <name val="Calibri"/>
      <family val="2"/>
      <scheme val="minor"/>
    </font>
    <font>
      <sz val="14"/>
      <color theme="8" tint="-0.499984740745262"/>
      <name val="Calibri"/>
      <family val="2"/>
      <scheme val="minor"/>
    </font>
    <font>
      <sz val="14"/>
      <name val="Calibri"/>
      <family val="2"/>
      <scheme val="minor"/>
    </font>
    <font>
      <u/>
      <sz val="14"/>
      <color theme="1"/>
      <name val="Calibri"/>
      <family val="2"/>
      <scheme val="minor"/>
    </font>
    <font>
      <sz val="14"/>
      <color rgb="FF2E74B5"/>
      <name val="Calibri (Body)"/>
    </font>
    <font>
      <b/>
      <i/>
      <sz val="16"/>
      <color rgb="FFC00000"/>
      <name val="Calibri"/>
      <family val="2"/>
      <scheme val="minor"/>
    </font>
    <font>
      <b/>
      <sz val="14"/>
      <color theme="0"/>
      <name val="Calibri (Body)"/>
    </font>
    <font>
      <sz val="11"/>
      <color theme="1"/>
      <name val="Calibri (Body)"/>
    </font>
    <font>
      <sz val="12"/>
      <color theme="1"/>
      <name val="Calibri (Body)"/>
    </font>
    <font>
      <b/>
      <i/>
      <u/>
      <sz val="16"/>
      <color rgb="FFC00000"/>
      <name val="Calibri (Body)"/>
    </font>
    <font>
      <u/>
      <sz val="14"/>
      <name val="Calibri (Body)"/>
    </font>
    <font>
      <b/>
      <i/>
      <sz val="16"/>
      <color theme="1"/>
      <name val="Calibri"/>
      <family val="2"/>
      <scheme val="minor"/>
    </font>
    <font>
      <i/>
      <sz val="16"/>
      <color theme="1"/>
      <name val="Calibri"/>
      <family val="2"/>
      <scheme val="minor"/>
    </font>
    <font>
      <i/>
      <u/>
      <sz val="16"/>
      <color theme="1"/>
      <name val="Calibri (Body)"/>
    </font>
    <font>
      <sz val="12"/>
      <color rgb="FF000000"/>
      <name val="Arial"/>
      <family val="2"/>
    </font>
    <font>
      <b/>
      <sz val="11"/>
      <color theme="1"/>
      <name val="Calibri (Body)"/>
    </font>
    <font>
      <sz val="13"/>
      <color rgb="FF000000"/>
      <name val="Lucida Grande"/>
    </font>
  </fonts>
  <fills count="23">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D6DCE4"/>
        <bgColor indexed="64"/>
      </patternFill>
    </fill>
    <fill>
      <patternFill patternType="solid">
        <fgColor theme="3" tint="0.39997558519241921"/>
        <bgColor indexed="64"/>
      </patternFill>
    </fill>
    <fill>
      <patternFill patternType="solid">
        <fgColor rgb="FFD9E1F2"/>
        <bgColor indexed="64"/>
      </patternFill>
    </fill>
    <fill>
      <patternFill patternType="solid">
        <fgColor rgb="FF0070C0"/>
        <bgColor indexed="64"/>
      </patternFill>
    </fill>
    <fill>
      <patternFill patternType="solid">
        <fgColor rgb="FFF2F2F2"/>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2" tint="-0.89999084444715716"/>
        <bgColor indexed="64"/>
      </patternFill>
    </fill>
    <fill>
      <patternFill patternType="solid">
        <fgColor theme="1"/>
        <bgColor indexed="64"/>
      </patternFill>
    </fill>
    <fill>
      <patternFill patternType="solid">
        <fgColor theme="9" tint="0.79998168889431442"/>
        <bgColor indexed="64"/>
      </patternFill>
    </fill>
    <fill>
      <patternFill patternType="solid">
        <fgColor theme="9"/>
        <bgColor indexed="64"/>
      </patternFill>
    </fill>
  </fills>
  <borders count="90">
    <border>
      <left/>
      <right/>
      <top/>
      <bottom/>
      <diagonal/>
    </border>
    <border>
      <left/>
      <right/>
      <top/>
      <bottom style="thin">
        <color indexed="64"/>
      </bottom>
      <diagonal/>
    </border>
    <border>
      <left/>
      <right/>
      <top style="thin">
        <color indexed="64"/>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rgb="FF808080"/>
      </bottom>
      <diagonal/>
    </border>
    <border>
      <left style="thin">
        <color indexed="64"/>
      </left>
      <right style="thin">
        <color indexed="64"/>
      </right>
      <top style="thin">
        <color indexed="64"/>
      </top>
      <bottom style="thin">
        <color indexed="64"/>
      </bottom>
      <diagonal/>
    </border>
    <border>
      <left/>
      <right style="thin">
        <color rgb="FF808080"/>
      </right>
      <top style="thin">
        <color rgb="FF808080"/>
      </top>
      <bottom/>
      <diagonal/>
    </border>
    <border>
      <left/>
      <right style="thin">
        <color rgb="FF808080"/>
      </right>
      <top/>
      <bottom style="thin">
        <color rgb="FF808080"/>
      </bottom>
      <diagonal/>
    </border>
    <border>
      <left style="thin">
        <color rgb="FF808080"/>
      </left>
      <right/>
      <top/>
      <bottom style="thin">
        <color rgb="FF808080"/>
      </bottom>
      <diagonal/>
    </border>
    <border>
      <left style="thin">
        <color rgb="FF808080"/>
      </left>
      <right/>
      <top style="thin">
        <color rgb="FF808080"/>
      </top>
      <bottom/>
      <diagonal/>
    </border>
    <border>
      <left/>
      <right style="thin">
        <color rgb="FF808080"/>
      </right>
      <top/>
      <bottom/>
      <diagonal/>
    </border>
    <border>
      <left/>
      <right/>
      <top style="thin">
        <color rgb="FF808080"/>
      </top>
      <bottom/>
      <diagonal/>
    </border>
    <border>
      <left/>
      <right/>
      <top style="thin">
        <color rgb="FF808080"/>
      </top>
      <bottom style="thin">
        <color rgb="FF808080"/>
      </bottom>
      <diagonal/>
    </border>
    <border>
      <left style="thin">
        <color theme="4" tint="0.39997558519241921"/>
      </left>
      <right/>
      <top style="thin">
        <color rgb="FF808080"/>
      </top>
      <bottom style="thin">
        <color rgb="FF808080"/>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808080"/>
      </left>
      <right/>
      <top/>
      <bottom/>
      <diagonal/>
    </border>
    <border>
      <left/>
      <right/>
      <top style="thin">
        <color indexed="64"/>
      </top>
      <bottom style="thin">
        <color rgb="FF808080"/>
      </bottom>
      <diagonal/>
    </border>
    <border>
      <left style="medium">
        <color theme="0" tint="-0.499984740745262"/>
      </left>
      <right/>
      <top style="thin">
        <color indexed="64"/>
      </top>
      <bottom/>
      <diagonal/>
    </border>
    <border>
      <left style="thin">
        <color indexed="64"/>
      </left>
      <right style="thin">
        <color rgb="FF808080"/>
      </right>
      <top style="thin">
        <color rgb="FF808080"/>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top/>
      <bottom/>
      <diagonal/>
    </border>
    <border>
      <left style="thin">
        <color indexed="64"/>
      </left>
      <right/>
      <top/>
      <bottom style="thin">
        <color indexed="64"/>
      </bottom>
      <diagonal/>
    </border>
    <border>
      <left style="thin">
        <color theme="4" tint="0.39997558519241921"/>
      </left>
      <right/>
      <top style="thin">
        <color rgb="FF808080"/>
      </top>
      <bottom style="thin">
        <color indexed="64"/>
      </bottom>
      <diagonal/>
    </border>
    <border>
      <left/>
      <right/>
      <top style="thin">
        <color rgb="FF808080"/>
      </top>
      <bottom style="thin">
        <color indexed="64"/>
      </bottom>
      <diagonal/>
    </border>
    <border>
      <left/>
      <right style="thin">
        <color rgb="FF808080"/>
      </right>
      <top style="thin">
        <color rgb="FF808080"/>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theme="4" tint="0.39997558519241921"/>
      </left>
      <right style="thin">
        <color rgb="FF808080"/>
      </right>
      <top style="thin">
        <color rgb="FF808080"/>
      </top>
      <bottom style="thin">
        <color rgb="FF808080"/>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thin">
        <color theme="1"/>
      </left>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theme="1"/>
      </left>
      <right/>
      <top/>
      <bottom style="thin">
        <color theme="1"/>
      </bottom>
      <diagonal/>
    </border>
    <border>
      <left/>
      <right/>
      <top/>
      <bottom style="thin">
        <color theme="1"/>
      </bottom>
      <diagonal/>
    </border>
    <border>
      <left/>
      <right style="medium">
        <color theme="1"/>
      </right>
      <top/>
      <bottom style="thin">
        <color theme="1"/>
      </bottom>
      <diagonal/>
    </border>
    <border>
      <left/>
      <right/>
      <top style="thin">
        <color theme="1"/>
      </top>
      <bottom style="thin">
        <color theme="1"/>
      </bottom>
      <diagonal/>
    </border>
    <border>
      <left/>
      <right style="medium">
        <color theme="1"/>
      </right>
      <top style="thin">
        <color theme="1"/>
      </top>
      <bottom style="thin">
        <color theme="1"/>
      </bottom>
      <diagonal/>
    </border>
    <border>
      <left style="medium">
        <color indexed="64"/>
      </left>
      <right/>
      <top/>
      <bottom/>
      <diagonal/>
    </border>
    <border>
      <left/>
      <right style="medium">
        <color indexed="64"/>
      </right>
      <top/>
      <bottom/>
      <diagonal/>
    </border>
    <border>
      <left style="medium">
        <color indexed="64"/>
      </left>
      <right style="thin">
        <color theme="1"/>
      </right>
      <top style="thin">
        <color theme="1"/>
      </top>
      <bottom style="thin">
        <color theme="1"/>
      </bottom>
      <diagonal/>
    </border>
    <border>
      <left/>
      <right style="medium">
        <color indexed="64"/>
      </right>
      <top style="thin">
        <color theme="1"/>
      </top>
      <bottom style="thin">
        <color theme="1"/>
      </bottom>
      <diagonal/>
    </border>
    <border>
      <left style="medium">
        <color theme="1"/>
      </left>
      <right/>
      <top/>
      <bottom style="thin">
        <color indexed="64"/>
      </bottom>
      <diagonal/>
    </border>
    <border>
      <left/>
      <right style="medium">
        <color theme="1"/>
      </right>
      <top/>
      <bottom style="thin">
        <color indexed="64"/>
      </bottom>
      <diagonal/>
    </border>
    <border>
      <left style="medium">
        <color indexed="64"/>
      </left>
      <right style="thin">
        <color theme="1"/>
      </right>
      <top style="thin">
        <color theme="1"/>
      </top>
      <bottom style="medium">
        <color indexed="64"/>
      </bottom>
      <diagonal/>
    </border>
    <border>
      <left style="thin">
        <color theme="1"/>
      </left>
      <right/>
      <top style="thin">
        <color theme="1"/>
      </top>
      <bottom style="medium">
        <color indexed="64"/>
      </bottom>
      <diagonal/>
    </border>
    <border>
      <left/>
      <right/>
      <top style="thin">
        <color theme="1"/>
      </top>
      <bottom style="medium">
        <color indexed="64"/>
      </bottom>
      <diagonal/>
    </border>
    <border>
      <left/>
      <right style="medium">
        <color indexed="64"/>
      </right>
      <top style="thin">
        <color theme="1"/>
      </top>
      <bottom style="medium">
        <color indexed="64"/>
      </bottom>
      <diagonal/>
    </border>
  </borders>
  <cellStyleXfs count="1">
    <xf numFmtId="0" fontId="0" fillId="0" borderId="0"/>
  </cellStyleXfs>
  <cellXfs count="339">
    <xf numFmtId="0" fontId="0" fillId="0" borderId="0" xfId="0"/>
    <xf numFmtId="0" fontId="0" fillId="0" borderId="0" xfId="0" applyAlignment="1">
      <alignment wrapText="1"/>
    </xf>
    <xf numFmtId="0" fontId="1" fillId="2" borderId="0" xfId="0" applyFont="1" applyFill="1" applyAlignment="1">
      <alignment wrapText="1"/>
    </xf>
    <xf numFmtId="0" fontId="0" fillId="3" borderId="0" xfId="0" applyFill="1" applyAlignment="1">
      <alignment wrapText="1"/>
    </xf>
    <xf numFmtId="0" fontId="0" fillId="6" borderId="0" xfId="0" applyFill="1" applyAlignment="1">
      <alignment wrapText="1"/>
    </xf>
    <xf numFmtId="0" fontId="3" fillId="6" borderId="0" xfId="0" applyFont="1" applyFill="1" applyAlignment="1">
      <alignment wrapText="1"/>
    </xf>
    <xf numFmtId="0" fontId="0" fillId="2" borderId="0" xfId="0" applyFill="1" applyAlignment="1">
      <alignment wrapText="1"/>
    </xf>
    <xf numFmtId="0" fontId="1" fillId="3" borderId="0" xfId="0" applyFont="1" applyFill="1" applyAlignment="1">
      <alignment wrapText="1"/>
    </xf>
    <xf numFmtId="0" fontId="4" fillId="3" borderId="0" xfId="0" applyFont="1" applyFill="1" applyAlignment="1">
      <alignment wrapText="1"/>
    </xf>
    <xf numFmtId="0" fontId="10" fillId="0" borderId="1" xfId="0" applyFont="1" applyBorder="1"/>
    <xf numFmtId="0" fontId="9" fillId="0" borderId="0" xfId="0" applyFont="1"/>
    <xf numFmtId="0" fontId="11" fillId="0" borderId="2" xfId="0" applyFont="1" applyBorder="1"/>
    <xf numFmtId="0" fontId="11" fillId="0" borderId="0" xfId="0" applyFont="1"/>
    <xf numFmtId="0" fontId="9" fillId="0" borderId="1" xfId="0" applyFont="1" applyBorder="1" applyAlignment="1">
      <alignment horizontal="center"/>
    </xf>
    <xf numFmtId="0" fontId="10" fillId="0" borderId="1" xfId="0" applyFont="1" applyBorder="1" applyAlignment="1">
      <alignment horizontal="center"/>
    </xf>
    <xf numFmtId="0" fontId="9" fillId="0" borderId="0" xfId="0" applyFont="1" applyAlignment="1">
      <alignment horizontal="center"/>
    </xf>
    <xf numFmtId="0" fontId="0" fillId="0" borderId="0" xfId="0" applyAlignment="1">
      <alignment horizontal="center" wrapText="1"/>
    </xf>
    <xf numFmtId="0" fontId="14" fillId="0" borderId="1" xfId="0" applyFont="1" applyBorder="1" applyAlignment="1">
      <alignment horizontal="center"/>
    </xf>
    <xf numFmtId="0" fontId="15" fillId="0" borderId="1" xfId="0" applyFont="1" applyBorder="1" applyAlignment="1">
      <alignment horizontal="center"/>
    </xf>
    <xf numFmtId="0" fontId="15" fillId="0" borderId="1" xfId="0" applyFont="1" applyBorder="1"/>
    <xf numFmtId="0" fontId="15" fillId="0" borderId="0" xfId="0" applyFont="1"/>
    <xf numFmtId="0" fontId="16" fillId="0" borderId="0" xfId="0" applyFont="1" applyAlignment="1">
      <alignment wrapText="1"/>
    </xf>
    <xf numFmtId="0" fontId="17" fillId="0" borderId="0" xfId="0" applyFont="1" applyAlignment="1">
      <alignment horizontal="center"/>
    </xf>
    <xf numFmtId="0" fontId="14" fillId="0" borderId="0" xfId="0" applyFont="1" applyAlignment="1">
      <alignment horizontal="center"/>
    </xf>
    <xf numFmtId="0" fontId="18" fillId="0" borderId="0" xfId="0" applyFont="1" applyAlignment="1">
      <alignment horizontal="center"/>
    </xf>
    <xf numFmtId="0" fontId="14" fillId="0" borderId="0" xfId="0" applyFont="1"/>
    <xf numFmtId="0" fontId="16" fillId="0" borderId="0" xfId="0" applyFont="1" applyAlignment="1">
      <alignment horizontal="center"/>
    </xf>
    <xf numFmtId="0" fontId="16" fillId="0" borderId="0" xfId="0" applyFont="1"/>
    <xf numFmtId="9" fontId="16" fillId="0" borderId="0" xfId="0" applyNumberFormat="1" applyFont="1"/>
    <xf numFmtId="0" fontId="20" fillId="0" borderId="0" xfId="0" applyFont="1" applyAlignment="1">
      <alignment vertical="center"/>
    </xf>
    <xf numFmtId="0" fontId="21" fillId="4" borderId="0" xfId="0" applyFont="1" applyFill="1"/>
    <xf numFmtId="9" fontId="21" fillId="4" borderId="0" xfId="0" applyNumberFormat="1" applyFont="1" applyFill="1"/>
    <xf numFmtId="0" fontId="21" fillId="4" borderId="0" xfId="0" applyFont="1" applyFill="1" applyAlignment="1">
      <alignment horizontal="center"/>
    </xf>
    <xf numFmtId="0" fontId="16" fillId="8" borderId="6" xfId="0" applyFont="1" applyFill="1" applyBorder="1" applyAlignment="1">
      <alignment horizontal="center" vertical="center"/>
    </xf>
    <xf numFmtId="0" fontId="16" fillId="8" borderId="8" xfId="0" applyFont="1" applyFill="1" applyBorder="1" applyAlignment="1">
      <alignment horizontal="center" vertical="center"/>
    </xf>
    <xf numFmtId="0" fontId="22" fillId="7" borderId="0" xfId="0" applyFont="1" applyFill="1" applyAlignment="1">
      <alignment horizontal="center" wrapText="1"/>
    </xf>
    <xf numFmtId="9" fontId="22" fillId="7" borderId="0" xfId="0" applyNumberFormat="1" applyFont="1" applyFill="1" applyAlignment="1">
      <alignment horizontal="center" wrapText="1"/>
    </xf>
    <xf numFmtId="0" fontId="22" fillId="7" borderId="9" xfId="0" applyFont="1" applyFill="1" applyBorder="1" applyAlignment="1">
      <alignment horizontal="center" vertical="center"/>
    </xf>
    <xf numFmtId="0" fontId="22" fillId="7" borderId="10" xfId="0" applyFont="1" applyFill="1" applyBorder="1" applyAlignment="1">
      <alignment horizontal="center" vertical="center"/>
    </xf>
    <xf numFmtId="0" fontId="16" fillId="0" borderId="20" xfId="0" quotePrefix="1" applyFont="1" applyBorder="1" applyAlignment="1">
      <alignment horizontal="center" vertical="center" wrapText="1"/>
    </xf>
    <xf numFmtId="9" fontId="16" fillId="0" borderId="20" xfId="0" applyNumberFormat="1" applyFont="1" applyBorder="1" applyAlignment="1">
      <alignment horizontal="center" vertical="center" wrapText="1"/>
    </xf>
    <xf numFmtId="9" fontId="16" fillId="0" borderId="20" xfId="0" applyNumberFormat="1" applyFont="1" applyBorder="1" applyAlignment="1">
      <alignment horizontal="center" vertical="center"/>
    </xf>
    <xf numFmtId="1" fontId="16" fillId="4" borderId="14" xfId="0" quotePrefix="1" applyNumberFormat="1" applyFont="1" applyFill="1" applyBorder="1" applyAlignment="1">
      <alignment horizontal="center" vertical="center" wrapText="1"/>
    </xf>
    <xf numFmtId="0" fontId="16" fillId="4" borderId="16" xfId="0" applyFont="1" applyFill="1" applyBorder="1" applyAlignment="1">
      <alignment horizontal="center" vertical="center"/>
    </xf>
    <xf numFmtId="9" fontId="16" fillId="4" borderId="14" xfId="0" applyNumberFormat="1" applyFont="1" applyFill="1" applyBorder="1" applyAlignment="1">
      <alignment horizontal="center" vertical="center"/>
    </xf>
    <xf numFmtId="9" fontId="16" fillId="4" borderId="16" xfId="0" applyNumberFormat="1" applyFont="1" applyFill="1" applyBorder="1" applyAlignment="1">
      <alignment horizontal="center" vertical="center"/>
    </xf>
    <xf numFmtId="0" fontId="16" fillId="4" borderId="14" xfId="0" applyFont="1" applyFill="1" applyBorder="1" applyAlignment="1">
      <alignment horizontal="center" vertical="center"/>
    </xf>
    <xf numFmtId="0" fontId="16" fillId="0" borderId="20" xfId="0" quotePrefix="1" applyFont="1" applyBorder="1" applyAlignment="1">
      <alignment horizontal="center" vertical="center"/>
    </xf>
    <xf numFmtId="13" fontId="16" fillId="0" borderId="20" xfId="0" quotePrefix="1" applyNumberFormat="1" applyFont="1" applyBorder="1" applyAlignment="1">
      <alignment horizontal="center" vertical="center" wrapText="1"/>
    </xf>
    <xf numFmtId="0" fontId="16" fillId="0" borderId="0" xfId="0" quotePrefix="1" applyFont="1" applyAlignment="1">
      <alignment vertical="center"/>
    </xf>
    <xf numFmtId="9" fontId="16" fillId="0" borderId="0" xfId="0" applyNumberFormat="1" applyFont="1" applyAlignment="1">
      <alignment vertical="center"/>
    </xf>
    <xf numFmtId="0" fontId="21" fillId="0" borderId="0" xfId="0" applyFont="1"/>
    <xf numFmtId="0" fontId="16" fillId="0" borderId="20" xfId="0" quotePrefix="1" applyFont="1" applyBorder="1" applyAlignment="1">
      <alignment vertical="center" wrapText="1"/>
    </xf>
    <xf numFmtId="0" fontId="16" fillId="0" borderId="15" xfId="0" applyFont="1" applyBorder="1" applyAlignment="1">
      <alignment vertical="center"/>
    </xf>
    <xf numFmtId="0" fontId="0" fillId="0" borderId="4" xfId="0" applyBorder="1"/>
    <xf numFmtId="0" fontId="16" fillId="0" borderId="20" xfId="0" applyFont="1" applyBorder="1" applyAlignment="1">
      <alignment vertical="center" wrapText="1"/>
    </xf>
    <xf numFmtId="0" fontId="16" fillId="0" borderId="20" xfId="0" applyFont="1" applyBorder="1" applyAlignment="1">
      <alignment vertical="center"/>
    </xf>
    <xf numFmtId="0" fontId="16" fillId="8" borderId="0" xfId="0" applyFont="1" applyFill="1"/>
    <xf numFmtId="0" fontId="16" fillId="7" borderId="0" xfId="0" applyFont="1" applyFill="1"/>
    <xf numFmtId="0" fontId="16" fillId="9" borderId="0" xfId="0" applyFont="1" applyFill="1"/>
    <xf numFmtId="0" fontId="16" fillId="9" borderId="0" xfId="0" applyFont="1" applyFill="1" applyAlignment="1">
      <alignment horizontal="left"/>
    </xf>
    <xf numFmtId="0" fontId="18" fillId="9" borderId="0" xfId="0" applyFont="1" applyFill="1" applyAlignment="1">
      <alignment horizontal="left"/>
    </xf>
    <xf numFmtId="9" fontId="18" fillId="9" borderId="0" xfId="0" applyNumberFormat="1" applyFont="1" applyFill="1" applyAlignment="1">
      <alignment horizontal="left"/>
    </xf>
    <xf numFmtId="9" fontId="16" fillId="9" borderId="0" xfId="0" applyNumberFormat="1" applyFont="1" applyFill="1"/>
    <xf numFmtId="0" fontId="19" fillId="9" borderId="0" xfId="0" applyFont="1" applyFill="1"/>
    <xf numFmtId="9" fontId="18" fillId="9" borderId="0" xfId="0" applyNumberFormat="1" applyFont="1" applyFill="1"/>
    <xf numFmtId="0" fontId="18" fillId="9" borderId="0" xfId="0" applyFont="1" applyFill="1"/>
    <xf numFmtId="0" fontId="16" fillId="0" borderId="3" xfId="0" applyFont="1" applyBorder="1"/>
    <xf numFmtId="0" fontId="16" fillId="8" borderId="9" xfId="0" applyFont="1" applyFill="1" applyBorder="1" applyAlignment="1">
      <alignment horizontal="center" vertical="center"/>
    </xf>
    <xf numFmtId="0" fontId="16" fillId="8" borderId="10" xfId="0" applyFont="1" applyFill="1" applyBorder="1" applyAlignment="1">
      <alignment horizontal="center" vertical="center"/>
    </xf>
    <xf numFmtId="9" fontId="16" fillId="0" borderId="3" xfId="0" applyNumberFormat="1" applyFont="1" applyBorder="1"/>
    <xf numFmtId="9" fontId="24" fillId="0" borderId="3" xfId="0" applyNumberFormat="1" applyFont="1" applyBorder="1"/>
    <xf numFmtId="0" fontId="10" fillId="0" borderId="0" xfId="0" applyFont="1" applyAlignment="1">
      <alignment horizontal="center"/>
    </xf>
    <xf numFmtId="0" fontId="29" fillId="0" borderId="0" xfId="0" applyFont="1" applyAlignment="1">
      <alignment horizontal="center"/>
    </xf>
    <xf numFmtId="0" fontId="30" fillId="0" borderId="0" xfId="0" applyFont="1" applyAlignment="1">
      <alignment horizontal="center"/>
    </xf>
    <xf numFmtId="0" fontId="31" fillId="0" borderId="0" xfId="0" applyFont="1" applyAlignment="1">
      <alignment horizontal="center"/>
    </xf>
    <xf numFmtId="0" fontId="28" fillId="0" borderId="2" xfId="0" applyFont="1" applyBorder="1" applyAlignment="1">
      <alignment horizontal="center"/>
    </xf>
    <xf numFmtId="0" fontId="29" fillId="0" borderId="2" xfId="0" applyFont="1" applyBorder="1" applyAlignment="1">
      <alignment horizontal="center"/>
    </xf>
    <xf numFmtId="0" fontId="0" fillId="0" borderId="22" xfId="0" applyBorder="1" applyAlignment="1">
      <alignment wrapText="1"/>
    </xf>
    <xf numFmtId="0" fontId="0" fillId="2" borderId="22" xfId="0" applyFill="1" applyBorder="1" applyAlignment="1">
      <alignment wrapText="1"/>
    </xf>
    <xf numFmtId="0" fontId="1" fillId="2" borderId="22" xfId="0" applyFont="1" applyFill="1" applyBorder="1" applyAlignment="1">
      <alignment wrapText="1"/>
    </xf>
    <xf numFmtId="0" fontId="0" fillId="3" borderId="22" xfId="0" applyFill="1" applyBorder="1" applyAlignment="1">
      <alignment wrapText="1"/>
    </xf>
    <xf numFmtId="0" fontId="1" fillId="3" borderId="22" xfId="0" applyFont="1" applyFill="1" applyBorder="1" applyAlignment="1">
      <alignment wrapText="1"/>
    </xf>
    <xf numFmtId="0" fontId="4" fillId="3" borderId="22" xfId="0" applyFont="1" applyFill="1" applyBorder="1" applyAlignment="1">
      <alignment wrapText="1"/>
    </xf>
    <xf numFmtId="0" fontId="5" fillId="0" borderId="22" xfId="0" applyFont="1" applyBorder="1" applyAlignment="1">
      <alignment wrapText="1"/>
    </xf>
    <xf numFmtId="0" fontId="1" fillId="0" borderId="22" xfId="0" applyFont="1" applyBorder="1" applyAlignment="1">
      <alignment wrapText="1"/>
    </xf>
    <xf numFmtId="0" fontId="8" fillId="0" borderId="22" xfId="0" applyFont="1" applyBorder="1" applyAlignment="1">
      <alignment wrapText="1"/>
    </xf>
    <xf numFmtId="0" fontId="4" fillId="0" borderId="22" xfId="0" applyFont="1" applyBorder="1" applyAlignment="1">
      <alignment wrapText="1"/>
    </xf>
    <xf numFmtId="0" fontId="1" fillId="0" borderId="22" xfId="0" applyFont="1" applyBorder="1" applyAlignment="1">
      <alignment horizontal="left" wrapText="1"/>
    </xf>
    <xf numFmtId="0" fontId="8" fillId="0" borderId="22" xfId="0" applyFont="1" applyBorder="1" applyAlignment="1">
      <alignment horizontal="left" wrapText="1"/>
    </xf>
    <xf numFmtId="0" fontId="0" fillId="0" borderId="22" xfId="0" applyBorder="1" applyAlignment="1">
      <alignment horizontal="left" wrapText="1"/>
    </xf>
    <xf numFmtId="0" fontId="5" fillId="0" borderId="22" xfId="0" applyFont="1" applyBorder="1" applyAlignment="1">
      <alignment horizontal="left" wrapText="1" indent="2"/>
    </xf>
    <xf numFmtId="0" fontId="5" fillId="0" borderId="22" xfId="0" applyFont="1" applyBorder="1" applyAlignment="1">
      <alignment horizontal="left" wrapText="1"/>
    </xf>
    <xf numFmtId="0" fontId="13" fillId="0" borderId="22" xfId="0" applyFont="1" applyBorder="1" applyAlignment="1">
      <alignment wrapText="1"/>
    </xf>
    <xf numFmtId="0" fontId="6" fillId="0" borderId="22" xfId="0" applyFont="1" applyBorder="1" applyAlignment="1">
      <alignment wrapText="1"/>
    </xf>
    <xf numFmtId="0" fontId="3" fillId="6" borderId="22" xfId="0" applyFont="1" applyFill="1" applyBorder="1" applyAlignment="1">
      <alignment wrapText="1"/>
    </xf>
    <xf numFmtId="0" fontId="1" fillId="6" borderId="22" xfId="0" applyFont="1" applyFill="1" applyBorder="1" applyAlignment="1">
      <alignment wrapText="1"/>
    </xf>
    <xf numFmtId="0" fontId="16" fillId="7" borderId="34" xfId="0" applyFont="1" applyFill="1" applyBorder="1"/>
    <xf numFmtId="0" fontId="22" fillId="7" borderId="2" xfId="0" applyFont="1" applyFill="1" applyBorder="1" applyAlignment="1">
      <alignment horizontal="center" wrapText="1"/>
    </xf>
    <xf numFmtId="9" fontId="22" fillId="7" borderId="2" xfId="0" applyNumberFormat="1" applyFont="1" applyFill="1" applyBorder="1" applyAlignment="1">
      <alignment horizontal="center" wrapText="1"/>
    </xf>
    <xf numFmtId="0" fontId="22" fillId="7" borderId="37" xfId="0" applyFont="1" applyFill="1" applyBorder="1" applyAlignment="1">
      <alignment horizontal="center" vertical="center"/>
    </xf>
    <xf numFmtId="0" fontId="22" fillId="7" borderId="31" xfId="0" applyFont="1" applyFill="1" applyBorder="1" applyAlignment="1">
      <alignment horizontal="center" vertical="center"/>
    </xf>
    <xf numFmtId="0" fontId="16" fillId="0" borderId="38" xfId="0" applyFont="1" applyBorder="1"/>
    <xf numFmtId="0" fontId="16" fillId="0" borderId="39" xfId="0" applyFont="1" applyBorder="1"/>
    <xf numFmtId="0" fontId="16" fillId="0" borderId="40" xfId="0" applyFont="1" applyBorder="1"/>
    <xf numFmtId="0" fontId="16" fillId="0" borderId="41" xfId="0" applyFont="1" applyBorder="1"/>
    <xf numFmtId="0" fontId="16" fillId="0" borderId="45" xfId="0" applyFont="1" applyBorder="1"/>
    <xf numFmtId="9" fontId="24" fillId="0" borderId="45" xfId="0" applyNumberFormat="1" applyFont="1" applyBorder="1"/>
    <xf numFmtId="9" fontId="16" fillId="0" borderId="45" xfId="0" applyNumberFormat="1" applyFont="1" applyBorder="1"/>
    <xf numFmtId="0" fontId="16" fillId="0" borderId="46" xfId="0" applyFont="1" applyBorder="1"/>
    <xf numFmtId="0" fontId="16" fillId="0" borderId="47" xfId="0" applyFont="1" applyBorder="1" applyAlignment="1">
      <alignment wrapText="1"/>
    </xf>
    <xf numFmtId="0" fontId="16" fillId="8" borderId="0" xfId="0" applyFont="1" applyFill="1" applyAlignment="1">
      <alignment wrapText="1"/>
    </xf>
    <xf numFmtId="0" fontId="16" fillId="8" borderId="0" xfId="0" applyFont="1" applyFill="1" applyAlignment="1">
      <alignment horizontal="center" wrapText="1"/>
    </xf>
    <xf numFmtId="0" fontId="22" fillId="7" borderId="0" xfId="0" applyFont="1" applyFill="1" applyAlignment="1">
      <alignment wrapText="1"/>
    </xf>
    <xf numFmtId="0" fontId="16" fillId="0" borderId="17" xfId="0" quotePrefix="1" applyFont="1" applyBorder="1" applyAlignment="1">
      <alignment horizontal="center" vertical="center" wrapText="1"/>
    </xf>
    <xf numFmtId="9" fontId="16" fillId="0" borderId="15" xfId="0" applyNumberFormat="1" applyFont="1" applyBorder="1" applyAlignment="1">
      <alignment horizontal="center" vertical="center"/>
    </xf>
    <xf numFmtId="0" fontId="16" fillId="0" borderId="20" xfId="0" applyFont="1" applyBorder="1" applyAlignment="1">
      <alignment horizontal="center" vertical="center" wrapText="1"/>
    </xf>
    <xf numFmtId="1" fontId="16" fillId="0" borderId="20" xfId="0" quotePrefix="1" applyNumberFormat="1" applyFont="1" applyBorder="1" applyAlignment="1">
      <alignment horizontal="center" vertical="center" wrapText="1"/>
    </xf>
    <xf numFmtId="0" fontId="16" fillId="0" borderId="20" xfId="0" applyFont="1" applyBorder="1" applyAlignment="1">
      <alignment horizontal="center" vertical="center"/>
    </xf>
    <xf numFmtId="0" fontId="20" fillId="0" borderId="22" xfId="0" applyFont="1" applyBorder="1" applyAlignment="1">
      <alignment wrapText="1"/>
    </xf>
    <xf numFmtId="0" fontId="20" fillId="0" borderId="53" xfId="0" applyFont="1" applyBorder="1" applyAlignment="1">
      <alignment wrapText="1"/>
    </xf>
    <xf numFmtId="0" fontId="34" fillId="2" borderId="50" xfId="0" applyFont="1" applyFill="1" applyBorder="1" applyAlignment="1">
      <alignment wrapText="1"/>
    </xf>
    <xf numFmtId="0" fontId="35" fillId="3" borderId="51" xfId="0" applyFont="1" applyFill="1" applyBorder="1" applyAlignment="1">
      <alignment wrapText="1"/>
    </xf>
    <xf numFmtId="0" fontId="0" fillId="10" borderId="0" xfId="0" applyFill="1"/>
    <xf numFmtId="0" fontId="2" fillId="10" borderId="51" xfId="0" applyFont="1" applyFill="1" applyBorder="1" applyAlignment="1">
      <alignment wrapText="1"/>
    </xf>
    <xf numFmtId="0" fontId="0" fillId="10" borderId="52" xfId="0" applyFill="1" applyBorder="1" applyAlignment="1">
      <alignment wrapText="1"/>
    </xf>
    <xf numFmtId="0" fontId="0" fillId="10" borderId="0" xfId="0" applyFill="1" applyAlignment="1">
      <alignment wrapText="1"/>
    </xf>
    <xf numFmtId="0" fontId="35" fillId="3" borderId="51" xfId="0" applyFont="1" applyFill="1" applyBorder="1" applyAlignment="1">
      <alignment horizontal="left" wrapText="1" indent="3"/>
    </xf>
    <xf numFmtId="0" fontId="33" fillId="10" borderId="51" xfId="0" applyFont="1" applyFill="1" applyBorder="1" applyAlignment="1">
      <alignment wrapText="1"/>
    </xf>
    <xf numFmtId="0" fontId="36" fillId="10" borderId="51" xfId="0" applyFont="1" applyFill="1" applyBorder="1" applyAlignment="1">
      <alignment wrapText="1"/>
    </xf>
    <xf numFmtId="0" fontId="33" fillId="11" borderId="51" xfId="0" applyFont="1" applyFill="1" applyBorder="1" applyAlignment="1">
      <alignment wrapText="1"/>
    </xf>
    <xf numFmtId="0" fontId="36" fillId="4" borderId="51" xfId="0" applyFont="1" applyFill="1" applyBorder="1" applyAlignment="1">
      <alignment wrapText="1"/>
    </xf>
    <xf numFmtId="0" fontId="36" fillId="10" borderId="51" xfId="0" applyFont="1" applyFill="1" applyBorder="1" applyAlignment="1">
      <alignment horizontal="left" wrapText="1" indent="2"/>
    </xf>
    <xf numFmtId="0" fontId="41" fillId="0" borderId="22" xfId="0" applyFont="1" applyBorder="1" applyAlignment="1">
      <alignment wrapText="1"/>
    </xf>
    <xf numFmtId="9" fontId="36" fillId="0" borderId="22" xfId="0" applyNumberFormat="1" applyFont="1" applyBorder="1" applyAlignment="1">
      <alignment horizontal="center" wrapText="1"/>
    </xf>
    <xf numFmtId="0" fontId="36" fillId="0" borderId="0" xfId="0" applyFont="1" applyAlignment="1">
      <alignment wrapText="1"/>
    </xf>
    <xf numFmtId="0" fontId="36" fillId="0" borderId="22" xfId="0" applyFont="1" applyBorder="1" applyAlignment="1">
      <alignment horizontal="center" wrapText="1"/>
    </xf>
    <xf numFmtId="0" fontId="38" fillId="14" borderId="0" xfId="0" applyFont="1" applyFill="1" applyAlignment="1">
      <alignment wrapText="1"/>
    </xf>
    <xf numFmtId="0" fontId="38" fillId="14" borderId="0" xfId="0" applyFont="1" applyFill="1" applyAlignment="1">
      <alignment horizontal="center" wrapText="1"/>
    </xf>
    <xf numFmtId="0" fontId="36" fillId="0" borderId="22" xfId="0" applyFont="1" applyBorder="1" applyAlignment="1">
      <alignment wrapText="1"/>
    </xf>
    <xf numFmtId="0" fontId="36" fillId="15" borderId="22" xfId="0" applyFont="1" applyFill="1" applyBorder="1" applyAlignment="1">
      <alignment wrapText="1"/>
    </xf>
    <xf numFmtId="0" fontId="36" fillId="15" borderId="22" xfId="0" applyFont="1" applyFill="1" applyBorder="1" applyAlignment="1">
      <alignment horizontal="center" wrapText="1"/>
    </xf>
    <xf numFmtId="0" fontId="37" fillId="15" borderId="22" xfId="0" applyFont="1" applyFill="1" applyBorder="1" applyAlignment="1">
      <alignment horizontal="center" wrapText="1"/>
    </xf>
    <xf numFmtId="0" fontId="13" fillId="0" borderId="0" xfId="0" applyFont="1" applyAlignment="1">
      <alignment wrapText="1"/>
    </xf>
    <xf numFmtId="0" fontId="36" fillId="13" borderId="22" xfId="0" applyFont="1" applyFill="1" applyBorder="1" applyAlignment="1">
      <alignment horizontal="center" wrapText="1"/>
    </xf>
    <xf numFmtId="0" fontId="36" fillId="15" borderId="55" xfId="0" applyFont="1" applyFill="1" applyBorder="1" applyAlignment="1">
      <alignment wrapText="1"/>
    </xf>
    <xf numFmtId="0" fontId="36" fillId="15" borderId="55" xfId="0" applyFont="1" applyFill="1" applyBorder="1" applyAlignment="1">
      <alignment horizontal="center" wrapText="1"/>
    </xf>
    <xf numFmtId="0" fontId="37" fillId="15" borderId="55" xfId="0" applyFont="1" applyFill="1" applyBorder="1" applyAlignment="1">
      <alignment horizontal="center" wrapText="1"/>
    </xf>
    <xf numFmtId="0" fontId="36" fillId="0" borderId="56" xfId="0" applyFont="1" applyBorder="1" applyAlignment="1">
      <alignment wrapText="1"/>
    </xf>
    <xf numFmtId="0" fontId="36" fillId="0" borderId="56" xfId="0" applyFont="1" applyBorder="1" applyAlignment="1">
      <alignment horizontal="center" wrapText="1"/>
    </xf>
    <xf numFmtId="0" fontId="5" fillId="0" borderId="0" xfId="0" applyFont="1" applyAlignment="1">
      <alignment wrapText="1"/>
    </xf>
    <xf numFmtId="0" fontId="36" fillId="11" borderId="22" xfId="0" applyFont="1" applyFill="1" applyBorder="1" applyAlignment="1">
      <alignment horizontal="center" wrapText="1"/>
    </xf>
    <xf numFmtId="0" fontId="44" fillId="14" borderId="0" xfId="0" applyFont="1" applyFill="1" applyAlignment="1">
      <alignment wrapText="1"/>
    </xf>
    <xf numFmtId="0" fontId="38" fillId="16" borderId="0" xfId="0" applyFont="1" applyFill="1" applyAlignment="1">
      <alignment wrapText="1"/>
    </xf>
    <xf numFmtId="0" fontId="38" fillId="16" borderId="22" xfId="0" applyFont="1" applyFill="1" applyBorder="1" applyAlignment="1">
      <alignment wrapText="1"/>
    </xf>
    <xf numFmtId="0" fontId="38" fillId="16" borderId="22" xfId="0" applyFont="1" applyFill="1" applyBorder="1" applyAlignment="1">
      <alignment horizontal="center" wrapText="1"/>
    </xf>
    <xf numFmtId="0" fontId="33" fillId="17" borderId="0" xfId="0" applyFont="1" applyFill="1" applyAlignment="1">
      <alignment wrapText="1"/>
    </xf>
    <xf numFmtId="0" fontId="33" fillId="17" borderId="22" xfId="0" applyFont="1" applyFill="1" applyBorder="1" applyAlignment="1">
      <alignment wrapText="1"/>
    </xf>
    <xf numFmtId="0" fontId="33" fillId="17" borderId="22" xfId="0" applyFont="1" applyFill="1" applyBorder="1" applyAlignment="1">
      <alignment horizontal="center" wrapText="1"/>
    </xf>
    <xf numFmtId="0" fontId="43" fillId="17" borderId="22" xfId="0" applyFont="1" applyFill="1" applyBorder="1" applyAlignment="1">
      <alignment horizontal="center" wrapText="1"/>
    </xf>
    <xf numFmtId="9" fontId="36" fillId="4" borderId="22" xfId="0" applyNumberFormat="1" applyFont="1" applyFill="1" applyBorder="1" applyAlignment="1">
      <alignment horizontal="center" wrapText="1"/>
    </xf>
    <xf numFmtId="0" fontId="43" fillId="18" borderId="0" xfId="0" applyFont="1" applyFill="1" applyAlignment="1">
      <alignment wrapText="1"/>
    </xf>
    <xf numFmtId="0" fontId="36" fillId="0" borderId="22" xfId="0" applyFont="1" applyBorder="1" applyAlignment="1">
      <alignment horizontal="left" wrapText="1" indent="5"/>
    </xf>
    <xf numFmtId="0" fontId="36" fillId="0" borderId="22" xfId="0" applyFont="1" applyBorder="1" applyAlignment="1">
      <alignment horizontal="left" wrapText="1" indent="6"/>
    </xf>
    <xf numFmtId="0" fontId="36" fillId="13" borderId="56" xfId="0" applyFont="1" applyFill="1" applyBorder="1" applyAlignment="1">
      <alignment horizontal="center" wrapText="1"/>
    </xf>
    <xf numFmtId="0" fontId="36" fillId="0" borderId="55" xfId="0" applyFont="1" applyBorder="1" applyAlignment="1">
      <alignment wrapText="1"/>
    </xf>
    <xf numFmtId="0" fontId="36" fillId="0" borderId="55" xfId="0" applyFont="1" applyBorder="1" applyAlignment="1">
      <alignment horizontal="center" wrapText="1"/>
    </xf>
    <xf numFmtId="0" fontId="36" fillId="0" borderId="57" xfId="0" applyFont="1" applyBorder="1" applyAlignment="1">
      <alignment wrapText="1"/>
    </xf>
    <xf numFmtId="0" fontId="36" fillId="0" borderId="58" xfId="0" applyFont="1" applyBorder="1" applyAlignment="1">
      <alignment wrapText="1"/>
    </xf>
    <xf numFmtId="0" fontId="36" fillId="0" borderId="58" xfId="0" applyFont="1" applyBorder="1" applyAlignment="1">
      <alignment horizontal="center" wrapText="1"/>
    </xf>
    <xf numFmtId="0" fontId="36" fillId="11" borderId="58" xfId="0" applyFont="1" applyFill="1" applyBorder="1" applyAlignment="1">
      <alignment horizontal="center" wrapText="1"/>
    </xf>
    <xf numFmtId="0" fontId="36" fillId="0" borderId="59" xfId="0" applyFont="1" applyBorder="1" applyAlignment="1">
      <alignment horizontal="center" wrapText="1"/>
    </xf>
    <xf numFmtId="0" fontId="36" fillId="0" borderId="54" xfId="0" applyFont="1" applyBorder="1" applyAlignment="1">
      <alignment horizontal="center" wrapText="1"/>
    </xf>
    <xf numFmtId="0" fontId="36" fillId="0" borderId="61" xfId="0" applyFont="1" applyBorder="1" applyAlignment="1">
      <alignment horizontal="center" wrapText="1"/>
    </xf>
    <xf numFmtId="0" fontId="36" fillId="13" borderId="61" xfId="0" applyFont="1" applyFill="1" applyBorder="1" applyAlignment="1">
      <alignment horizontal="center" wrapText="1"/>
    </xf>
    <xf numFmtId="0" fontId="36" fillId="0" borderId="62" xfId="0" applyFont="1" applyBorder="1" applyAlignment="1">
      <alignment horizontal="center" wrapText="1"/>
    </xf>
    <xf numFmtId="0" fontId="36" fillId="13" borderId="55" xfId="0" applyFont="1" applyFill="1" applyBorder="1" applyAlignment="1">
      <alignment horizontal="center" wrapText="1"/>
    </xf>
    <xf numFmtId="0" fontId="36" fillId="11" borderId="61" xfId="0" applyFont="1" applyFill="1" applyBorder="1" applyAlignment="1">
      <alignment horizontal="center" wrapText="1"/>
    </xf>
    <xf numFmtId="0" fontId="36" fillId="0" borderId="63" xfId="0" applyFont="1" applyBorder="1" applyAlignment="1">
      <alignment wrapText="1"/>
    </xf>
    <xf numFmtId="0" fontId="36" fillId="0" borderId="63" xfId="0" applyFont="1" applyBorder="1" applyAlignment="1">
      <alignment horizontal="center" wrapText="1"/>
    </xf>
    <xf numFmtId="0" fontId="36" fillId="13" borderId="63" xfId="0" applyFont="1" applyFill="1" applyBorder="1" applyAlignment="1">
      <alignment horizontal="center" wrapText="1"/>
    </xf>
    <xf numFmtId="0" fontId="36" fillId="13" borderId="58" xfId="0" applyFont="1" applyFill="1" applyBorder="1" applyAlignment="1">
      <alignment horizontal="center" wrapText="1"/>
    </xf>
    <xf numFmtId="0" fontId="36" fillId="0" borderId="60" xfId="0" applyFont="1" applyBorder="1" applyAlignment="1">
      <alignment horizontal="left" wrapText="1" indent="1"/>
    </xf>
    <xf numFmtId="0" fontId="36" fillId="0" borderId="60" xfId="0" applyFont="1" applyBorder="1" applyAlignment="1">
      <alignment horizontal="right" wrapText="1"/>
    </xf>
    <xf numFmtId="9" fontId="36" fillId="13" borderId="22" xfId="0" applyNumberFormat="1" applyFont="1" applyFill="1" applyBorder="1" applyAlignment="1">
      <alignment horizontal="center" wrapText="1"/>
    </xf>
    <xf numFmtId="9" fontId="33" fillId="17" borderId="22" xfId="0" applyNumberFormat="1" applyFont="1" applyFill="1" applyBorder="1" applyAlignment="1">
      <alignment horizontal="center" wrapText="1"/>
    </xf>
    <xf numFmtId="9" fontId="36" fillId="18" borderId="22" xfId="0" applyNumberFormat="1" applyFont="1" applyFill="1" applyBorder="1" applyAlignment="1">
      <alignment horizontal="center" wrapText="1"/>
    </xf>
    <xf numFmtId="0" fontId="0" fillId="0" borderId="22" xfId="0" applyBorder="1" applyAlignment="1">
      <alignment horizontal="left" wrapText="1" indent="1"/>
    </xf>
    <xf numFmtId="0" fontId="50" fillId="0" borderId="53" xfId="0" applyFont="1" applyBorder="1" applyAlignment="1">
      <alignment wrapText="1"/>
    </xf>
    <xf numFmtId="0" fontId="20" fillId="0" borderId="53" xfId="0" applyFont="1" applyBorder="1" applyAlignment="1">
      <alignment horizontal="left" wrapText="1" indent="1"/>
    </xf>
    <xf numFmtId="0" fontId="36" fillId="0" borderId="22" xfId="0" applyFont="1" applyBorder="1" applyAlignment="1">
      <alignment horizontal="left" wrapText="1" indent="1"/>
    </xf>
    <xf numFmtId="0" fontId="36" fillId="0" borderId="22" xfId="0" applyFont="1" applyBorder="1" applyAlignment="1">
      <alignment horizontal="left" wrapText="1" indent="2"/>
    </xf>
    <xf numFmtId="0" fontId="36" fillId="0" borderId="64" xfId="0" applyFont="1" applyBorder="1" applyAlignment="1">
      <alignment wrapText="1"/>
    </xf>
    <xf numFmtId="0" fontId="36" fillId="0" borderId="65" xfId="0" applyFont="1" applyBorder="1" applyAlignment="1">
      <alignment horizontal="center" wrapText="1"/>
    </xf>
    <xf numFmtId="0" fontId="36" fillId="0" borderId="64" xfId="0" applyFont="1" applyBorder="1" applyAlignment="1">
      <alignment horizontal="center" wrapText="1"/>
    </xf>
    <xf numFmtId="0" fontId="36" fillId="11" borderId="64" xfId="0" applyFont="1" applyFill="1" applyBorder="1" applyAlignment="1">
      <alignment horizontal="center" wrapText="1"/>
    </xf>
    <xf numFmtId="0" fontId="1" fillId="3" borderId="56" xfId="0" applyFont="1" applyFill="1" applyBorder="1" applyAlignment="1">
      <alignment wrapText="1"/>
    </xf>
    <xf numFmtId="0" fontId="51" fillId="0" borderId="22" xfId="0" applyFont="1" applyBorder="1" applyAlignment="1">
      <alignment wrapText="1"/>
    </xf>
    <xf numFmtId="0" fontId="52" fillId="12" borderId="22" xfId="0" applyFont="1" applyFill="1" applyBorder="1" applyAlignment="1">
      <alignment horizontal="center" wrapText="1"/>
    </xf>
    <xf numFmtId="0" fontId="51" fillId="0" borderId="22" xfId="0" applyFont="1" applyBorder="1" applyAlignment="1">
      <alignment vertical="center"/>
    </xf>
    <xf numFmtId="0" fontId="52" fillId="12" borderId="22" xfId="0" applyFont="1" applyFill="1" applyBorder="1"/>
    <xf numFmtId="0" fontId="0" fillId="19" borderId="0" xfId="0" applyFill="1"/>
    <xf numFmtId="0" fontId="55" fillId="10" borderId="0" xfId="0" applyFont="1" applyFill="1"/>
    <xf numFmtId="0" fontId="56" fillId="4" borderId="71" xfId="0" applyFont="1" applyFill="1" applyBorder="1" applyAlignment="1">
      <alignment vertical="center" wrapText="1"/>
    </xf>
    <xf numFmtId="0" fontId="56" fillId="19" borderId="0" xfId="0" applyFont="1" applyFill="1" applyAlignment="1">
      <alignment vertical="top" wrapText="1"/>
    </xf>
    <xf numFmtId="0" fontId="58" fillId="19" borderId="0" xfId="0" applyFont="1" applyFill="1" applyAlignment="1">
      <alignment horizontal="left" vertical="top" wrapText="1"/>
    </xf>
    <xf numFmtId="0" fontId="59" fillId="10" borderId="0" xfId="0" applyFont="1" applyFill="1" applyAlignment="1">
      <alignment horizontal="center" vertical="center"/>
    </xf>
    <xf numFmtId="0" fontId="0" fillId="10" borderId="0" xfId="0" applyFill="1" applyAlignment="1">
      <alignment horizontal="left" vertical="center"/>
    </xf>
    <xf numFmtId="0" fontId="0" fillId="10" borderId="0" xfId="0" applyFill="1" applyAlignment="1">
      <alignment vertical="center"/>
    </xf>
    <xf numFmtId="0" fontId="56" fillId="20" borderId="0" xfId="0" applyFont="1" applyFill="1" applyAlignment="1">
      <alignment vertical="center" wrapText="1"/>
    </xf>
    <xf numFmtId="0" fontId="60" fillId="20" borderId="0" xfId="0" applyFont="1" applyFill="1" applyAlignment="1">
      <alignment vertical="center" wrapText="1"/>
    </xf>
    <xf numFmtId="0" fontId="36" fillId="0" borderId="72" xfId="0" applyFont="1" applyBorder="1" applyAlignment="1">
      <alignment horizontal="center" wrapText="1"/>
    </xf>
    <xf numFmtId="0" fontId="36" fillId="11" borderId="72" xfId="0" applyFont="1" applyFill="1" applyBorder="1" applyAlignment="1">
      <alignment horizontal="center" wrapText="1"/>
    </xf>
    <xf numFmtId="0" fontId="36" fillId="0" borderId="73" xfId="0" applyFont="1" applyBorder="1" applyAlignment="1">
      <alignment horizontal="center" wrapText="1"/>
    </xf>
    <xf numFmtId="0" fontId="36" fillId="0" borderId="74" xfId="0" applyFont="1" applyBorder="1" applyAlignment="1">
      <alignment horizontal="center" wrapText="1"/>
    </xf>
    <xf numFmtId="0" fontId="36" fillId="11" borderId="56" xfId="0" applyFont="1" applyFill="1" applyBorder="1" applyAlignment="1">
      <alignment horizontal="center" wrapText="1"/>
    </xf>
    <xf numFmtId="0" fontId="36" fillId="0" borderId="22" xfId="0" applyFont="1" applyBorder="1" applyAlignment="1">
      <alignment horizontal="left" wrapText="1" indent="3"/>
    </xf>
    <xf numFmtId="0" fontId="36" fillId="0" borderId="56" xfId="0" applyFont="1" applyBorder="1" applyAlignment="1">
      <alignment horizontal="left" wrapText="1" indent="6"/>
    </xf>
    <xf numFmtId="0" fontId="36" fillId="0" borderId="61" xfId="0" applyFont="1" applyBorder="1" applyAlignment="1">
      <alignment horizontal="left" wrapText="1" indent="6"/>
    </xf>
    <xf numFmtId="0" fontId="36" fillId="0" borderId="61" xfId="0" applyFont="1" applyBorder="1" applyAlignment="1">
      <alignment horizontal="left" wrapText="1" indent="5"/>
    </xf>
    <xf numFmtId="0" fontId="36" fillId="0" borderId="72" xfId="0" applyFont="1" applyBorder="1" applyAlignment="1">
      <alignment horizontal="left" wrapText="1"/>
    </xf>
    <xf numFmtId="0" fontId="56" fillId="4" borderId="82" xfId="0" applyFont="1" applyFill="1" applyBorder="1" applyAlignment="1">
      <alignment vertical="center" wrapText="1"/>
    </xf>
    <xf numFmtId="0" fontId="56" fillId="4" borderId="86" xfId="0" applyFont="1" applyFill="1" applyBorder="1" applyAlignment="1">
      <alignment vertical="center" wrapText="1"/>
    </xf>
    <xf numFmtId="0" fontId="62" fillId="22" borderId="0" xfId="0" applyFont="1" applyFill="1" applyAlignment="1">
      <alignment wrapText="1"/>
    </xf>
    <xf numFmtId="0" fontId="0" fillId="22" borderId="0" xfId="0" applyFill="1" applyAlignment="1">
      <alignment wrapText="1"/>
    </xf>
    <xf numFmtId="0" fontId="63" fillId="21" borderId="0" xfId="0" applyFont="1" applyFill="1" applyAlignment="1">
      <alignment wrapText="1"/>
    </xf>
    <xf numFmtId="0" fontId="64" fillId="0" borderId="22" xfId="0" applyFont="1" applyBorder="1" applyAlignment="1">
      <alignment wrapText="1"/>
    </xf>
    <xf numFmtId="0" fontId="64" fillId="0" borderId="0" xfId="0" applyFont="1" applyAlignment="1">
      <alignment wrapText="1"/>
    </xf>
    <xf numFmtId="0" fontId="67" fillId="4" borderId="84" xfId="0" applyFont="1" applyFill="1" applyBorder="1" applyAlignment="1">
      <alignment horizontal="left" vertical="center" wrapText="1"/>
    </xf>
    <xf numFmtId="0" fontId="70" fillId="0" borderId="0" xfId="0" applyFont="1"/>
    <xf numFmtId="0" fontId="5" fillId="0" borderId="4" xfId="0" applyFont="1" applyBorder="1" applyAlignment="1">
      <alignment horizontal="left" wrapText="1" indent="2"/>
    </xf>
    <xf numFmtId="0" fontId="5" fillId="0" borderId="29" xfId="0" applyFont="1" applyBorder="1" applyAlignment="1">
      <alignment horizontal="left" wrapText="1" indent="2"/>
    </xf>
    <xf numFmtId="0" fontId="5" fillId="0" borderId="5" xfId="0" applyFont="1" applyBorder="1" applyAlignment="1">
      <alignment horizontal="left" wrapText="1" indent="2"/>
    </xf>
    <xf numFmtId="0" fontId="25" fillId="7" borderId="29" xfId="0" applyFont="1" applyFill="1" applyBorder="1" applyAlignment="1">
      <alignment horizontal="left" wrapText="1"/>
    </xf>
    <xf numFmtId="0" fontId="16" fillId="8" borderId="0" xfId="0" applyFont="1" applyFill="1" applyAlignment="1">
      <alignment horizontal="center" wrapText="1"/>
    </xf>
    <xf numFmtId="0" fontId="16" fillId="0" borderId="15" xfId="0" applyFont="1" applyBorder="1" applyAlignment="1">
      <alignment horizontal="center"/>
    </xf>
    <xf numFmtId="0" fontId="16" fillId="0" borderId="19" xfId="0" applyFont="1" applyBorder="1" applyAlignment="1">
      <alignment horizontal="center"/>
    </xf>
    <xf numFmtId="0" fontId="16" fillId="0" borderId="17" xfId="0" applyFont="1" applyBorder="1" applyAlignment="1">
      <alignment horizontal="center"/>
    </xf>
    <xf numFmtId="9" fontId="16" fillId="0" borderId="15" xfId="0" applyNumberFormat="1" applyFont="1" applyBorder="1" applyAlignment="1">
      <alignment horizontal="center" vertical="center" wrapText="1"/>
    </xf>
    <xf numFmtId="9" fontId="16" fillId="0" borderId="19" xfId="0" applyNumberFormat="1" applyFont="1" applyBorder="1" applyAlignment="1">
      <alignment horizontal="center" vertical="center" wrapText="1"/>
    </xf>
    <xf numFmtId="9" fontId="16" fillId="0" borderId="17" xfId="0" applyNumberFormat="1" applyFont="1" applyBorder="1" applyAlignment="1">
      <alignment horizontal="center" vertical="center" wrapText="1"/>
    </xf>
    <xf numFmtId="0" fontId="16" fillId="8" borderId="0" xfId="0" applyFont="1" applyFill="1" applyAlignment="1">
      <alignment wrapText="1"/>
    </xf>
    <xf numFmtId="0" fontId="12" fillId="0" borderId="1" xfId="0" applyFont="1" applyBorder="1" applyAlignment="1">
      <alignment horizontal="center"/>
    </xf>
    <xf numFmtId="0" fontId="23" fillId="8" borderId="6" xfId="0" applyFont="1" applyFill="1" applyBorder="1" applyAlignment="1">
      <alignment horizontal="left" vertical="center"/>
    </xf>
    <xf numFmtId="0" fontId="23" fillId="8" borderId="7" xfId="0" applyFont="1" applyFill="1" applyBorder="1" applyAlignment="1">
      <alignment horizontal="left" vertical="center"/>
    </xf>
    <xf numFmtId="0" fontId="23" fillId="8" borderId="8" xfId="0" applyFont="1" applyFill="1" applyBorder="1" applyAlignment="1">
      <alignment horizontal="left" vertical="center"/>
    </xf>
    <xf numFmtId="0" fontId="32" fillId="7" borderId="9" xfId="0" applyFont="1" applyFill="1" applyBorder="1" applyAlignment="1">
      <alignment horizontal="left" vertical="center" wrapText="1"/>
    </xf>
    <xf numFmtId="0" fontId="20" fillId="7" borderId="0" xfId="0" applyFont="1" applyFill="1" applyAlignment="1">
      <alignment horizontal="left" vertical="center" wrapText="1"/>
    </xf>
    <xf numFmtId="0" fontId="20" fillId="7" borderId="10" xfId="0" applyFont="1" applyFill="1" applyBorder="1" applyAlignment="1">
      <alignment horizontal="left" vertical="center" wrapText="1"/>
    </xf>
    <xf numFmtId="0" fontId="20" fillId="7" borderId="11" xfId="0" applyFont="1" applyFill="1" applyBorder="1" applyAlignment="1">
      <alignment horizontal="left" vertical="center" wrapText="1"/>
    </xf>
    <xf numFmtId="0" fontId="20" fillId="7" borderId="12" xfId="0" applyFont="1" applyFill="1" applyBorder="1" applyAlignment="1">
      <alignment horizontal="left" vertical="center" wrapText="1"/>
    </xf>
    <xf numFmtId="0" fontId="20" fillId="7" borderId="13" xfId="0" applyFont="1" applyFill="1" applyBorder="1" applyAlignment="1">
      <alignment horizontal="left" vertical="center" wrapText="1"/>
    </xf>
    <xf numFmtId="0" fontId="21" fillId="4" borderId="0" xfId="0" applyFont="1" applyFill="1"/>
    <xf numFmtId="0" fontId="27" fillId="7" borderId="0" xfId="0" applyFont="1" applyFill="1" applyAlignment="1">
      <alignment wrapText="1"/>
    </xf>
    <xf numFmtId="0" fontId="22" fillId="7" borderId="0" xfId="0" applyFont="1" applyFill="1" applyAlignment="1">
      <alignment wrapText="1"/>
    </xf>
    <xf numFmtId="0" fontId="16" fillId="0" borderId="32" xfId="0" applyFont="1" applyBorder="1" applyAlignment="1">
      <alignment horizontal="center" wrapText="1"/>
    </xf>
    <xf numFmtId="0" fontId="16" fillId="0" borderId="49" xfId="0" applyFont="1" applyBorder="1" applyAlignment="1">
      <alignment horizontal="center" wrapText="1"/>
    </xf>
    <xf numFmtId="0" fontId="16" fillId="0" borderId="33" xfId="0" applyFont="1" applyBorder="1" applyAlignment="1">
      <alignment horizontal="center" wrapText="1"/>
    </xf>
    <xf numFmtId="0" fontId="16" fillId="0" borderId="41" xfId="0" applyFont="1" applyBorder="1" applyAlignment="1">
      <alignment horizontal="center" wrapText="1"/>
    </xf>
    <xf numFmtId="0" fontId="16" fillId="0" borderId="1" xfId="0" applyFont="1" applyBorder="1" applyAlignment="1">
      <alignment horizontal="center" wrapText="1"/>
    </xf>
    <xf numFmtId="0" fontId="16" fillId="0" borderId="48" xfId="0" applyFont="1" applyBorder="1" applyAlignment="1">
      <alignment horizontal="center" wrapText="1"/>
    </xf>
    <xf numFmtId="0" fontId="16" fillId="0" borderId="20" xfId="0" applyFont="1" applyBorder="1" applyAlignment="1">
      <alignment horizontal="center" vertical="center" wrapText="1"/>
    </xf>
    <xf numFmtId="1" fontId="16" fillId="0" borderId="20" xfId="0" quotePrefix="1" applyNumberFormat="1" applyFont="1" applyBorder="1" applyAlignment="1">
      <alignment horizontal="center" vertical="center" wrapText="1"/>
    </xf>
    <xf numFmtId="9" fontId="16" fillId="0" borderId="15" xfId="0" applyNumberFormat="1" applyFont="1" applyBorder="1" applyAlignment="1">
      <alignment horizontal="center" vertical="center"/>
    </xf>
    <xf numFmtId="9" fontId="16" fillId="0" borderId="19" xfId="0" applyNumberFormat="1" applyFont="1" applyBorder="1" applyAlignment="1">
      <alignment horizontal="center" vertical="center"/>
    </xf>
    <xf numFmtId="9" fontId="16" fillId="0" borderId="18" xfId="0" applyNumberFormat="1" applyFont="1" applyBorder="1" applyAlignment="1">
      <alignment horizontal="center" vertical="center"/>
    </xf>
    <xf numFmtId="0" fontId="16" fillId="0" borderId="20" xfId="0" applyFont="1" applyBorder="1" applyAlignment="1">
      <alignment horizontal="center" vertical="center"/>
    </xf>
    <xf numFmtId="0" fontId="16" fillId="0" borderId="15" xfId="0" applyFont="1" applyBorder="1" applyAlignment="1">
      <alignment horizontal="center" vertical="center"/>
    </xf>
    <xf numFmtId="0" fontId="0" fillId="0" borderId="3" xfId="0" applyBorder="1" applyAlignment="1">
      <alignment horizontal="left" wrapText="1"/>
    </xf>
    <xf numFmtId="0" fontId="16" fillId="0" borderId="20" xfId="0" applyFont="1" applyBorder="1" applyAlignment="1">
      <alignment horizontal="left" wrapText="1"/>
    </xf>
    <xf numFmtId="0" fontId="16" fillId="0" borderId="20" xfId="0" applyFont="1" applyBorder="1" applyAlignment="1">
      <alignment horizontal="left" vertical="center" wrapText="1" indent="4"/>
    </xf>
    <xf numFmtId="0" fontId="16" fillId="0" borderId="20" xfId="0" applyFont="1" applyBorder="1" applyAlignment="1">
      <alignment horizontal="left" vertical="center" wrapText="1"/>
    </xf>
    <xf numFmtId="0" fontId="0" fillId="0" borderId="3" xfId="0" applyBorder="1" applyAlignment="1">
      <alignment horizontal="center" wrapText="1"/>
    </xf>
    <xf numFmtId="0" fontId="16" fillId="0" borderId="15" xfId="0" quotePrefix="1" applyFont="1" applyBorder="1" applyAlignment="1">
      <alignment horizontal="center" vertical="center" wrapText="1"/>
    </xf>
    <xf numFmtId="0" fontId="16" fillId="0" borderId="19" xfId="0" quotePrefix="1" applyFont="1" applyBorder="1" applyAlignment="1">
      <alignment horizontal="center" vertical="center" wrapText="1"/>
    </xf>
    <xf numFmtId="0" fontId="16" fillId="0" borderId="18" xfId="0" quotePrefix="1" applyFont="1" applyBorder="1" applyAlignment="1">
      <alignment horizontal="center" vertical="center" wrapText="1"/>
    </xf>
    <xf numFmtId="0" fontId="16" fillId="0" borderId="17" xfId="0" quotePrefix="1" applyFont="1" applyBorder="1" applyAlignment="1">
      <alignment horizontal="center" vertical="center" wrapText="1"/>
    </xf>
    <xf numFmtId="1" fontId="16" fillId="0" borderId="19" xfId="0" quotePrefix="1" applyNumberFormat="1" applyFont="1" applyBorder="1" applyAlignment="1">
      <alignment horizontal="center" vertical="center" wrapText="1"/>
    </xf>
    <xf numFmtId="1" fontId="16" fillId="0" borderId="17" xfId="0" quotePrefix="1" applyNumberFormat="1" applyFont="1" applyBorder="1" applyAlignment="1">
      <alignment horizontal="center" vertical="center" wrapText="1"/>
    </xf>
    <xf numFmtId="1" fontId="16" fillId="0" borderId="15" xfId="0" quotePrefix="1" applyNumberFormat="1" applyFont="1" applyBorder="1" applyAlignment="1">
      <alignment horizontal="center" vertical="center" wrapText="1"/>
    </xf>
    <xf numFmtId="0" fontId="0" fillId="0" borderId="4" xfId="0" applyBorder="1" applyAlignment="1">
      <alignment horizontal="left" vertical="top" wrapText="1"/>
    </xf>
    <xf numFmtId="0" fontId="0" fillId="0" borderId="29" xfId="0" applyBorder="1" applyAlignment="1">
      <alignment horizontal="left" vertical="top" wrapText="1"/>
    </xf>
    <xf numFmtId="0" fontId="0" fillId="0" borderId="5" xfId="0" applyBorder="1" applyAlignment="1">
      <alignment horizontal="left" vertical="top" wrapText="1"/>
    </xf>
    <xf numFmtId="0" fontId="0" fillId="0" borderId="30" xfId="0" applyBorder="1" applyAlignment="1">
      <alignment horizontal="left" vertical="top"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0" fillId="0" borderId="44" xfId="0" applyBorder="1" applyAlignment="1">
      <alignment horizontal="left" vertical="top" wrapText="1"/>
    </xf>
    <xf numFmtId="0" fontId="0" fillId="0" borderId="25" xfId="0" applyBorder="1" applyAlignment="1">
      <alignment horizontal="left" wrapText="1"/>
    </xf>
    <xf numFmtId="0" fontId="0" fillId="0" borderId="21" xfId="0" applyBorder="1" applyAlignment="1">
      <alignment horizontal="left" wrapText="1"/>
    </xf>
    <xf numFmtId="0" fontId="0" fillId="0" borderId="24" xfId="0" applyBorder="1" applyAlignment="1">
      <alignment horizontal="left" wrapText="1"/>
    </xf>
    <xf numFmtId="0" fontId="1" fillId="5" borderId="4" xfId="0" applyFont="1" applyFill="1" applyBorder="1" applyAlignment="1">
      <alignment horizontal="center" wrapText="1"/>
    </xf>
    <xf numFmtId="0" fontId="1" fillId="5" borderId="29" xfId="0" applyFont="1" applyFill="1" applyBorder="1" applyAlignment="1">
      <alignment horizontal="center" wrapText="1"/>
    </xf>
    <xf numFmtId="0" fontId="1" fillId="5" borderId="5" xfId="0" applyFont="1" applyFill="1" applyBorder="1" applyAlignment="1">
      <alignment horizontal="center" wrapText="1"/>
    </xf>
    <xf numFmtId="0" fontId="26" fillId="0" borderId="15" xfId="0" applyFont="1" applyBorder="1" applyAlignment="1">
      <alignment horizontal="left" vertical="top" wrapText="1" indent="2"/>
    </xf>
    <xf numFmtId="0" fontId="16" fillId="0" borderId="19" xfId="0" applyFont="1" applyBorder="1" applyAlignment="1">
      <alignment horizontal="left" vertical="top" wrapText="1" indent="2"/>
    </xf>
    <xf numFmtId="0" fontId="16" fillId="0" borderId="17" xfId="0" applyFont="1" applyBorder="1" applyAlignment="1">
      <alignment horizontal="left" vertical="top" wrapText="1" indent="2"/>
    </xf>
    <xf numFmtId="0" fontId="25" fillId="7" borderId="36" xfId="0" applyFont="1" applyFill="1" applyBorder="1" applyAlignment="1">
      <alignment horizontal="left" wrapText="1"/>
    </xf>
    <xf numFmtId="0" fontId="0" fillId="0" borderId="26" xfId="0" applyBorder="1" applyAlignment="1">
      <alignment horizontal="left" wrapText="1"/>
    </xf>
    <xf numFmtId="0" fontId="0" fillId="0" borderId="28" xfId="0" applyBorder="1" applyAlignment="1">
      <alignment horizontal="left" wrapText="1"/>
    </xf>
    <xf numFmtId="0" fontId="0" fillId="0" borderId="23" xfId="0" applyBorder="1" applyAlignment="1">
      <alignment horizontal="left" wrapText="1"/>
    </xf>
    <xf numFmtId="0" fontId="0" fillId="0" borderId="35" xfId="0" applyBorder="1" applyAlignment="1">
      <alignment horizontal="left" wrapText="1"/>
    </xf>
    <xf numFmtId="0" fontId="0" fillId="0" borderId="0" xfId="0" applyAlignment="1">
      <alignment horizontal="left" wrapText="1"/>
    </xf>
    <xf numFmtId="0" fontId="0" fillId="0" borderId="27" xfId="0" applyBorder="1" applyAlignment="1">
      <alignment horizontal="left" wrapText="1"/>
    </xf>
    <xf numFmtId="0" fontId="1" fillId="0" borderId="4" xfId="0" applyFont="1" applyBorder="1" applyAlignment="1">
      <alignment vertical="top" wrapText="1"/>
    </xf>
    <xf numFmtId="0" fontId="1" fillId="0" borderId="29" xfId="0" applyFont="1" applyBorder="1" applyAlignment="1">
      <alignment vertical="top" wrapText="1"/>
    </xf>
    <xf numFmtId="0" fontId="1" fillId="0" borderId="5" xfId="0" applyFont="1" applyBorder="1" applyAlignment="1">
      <alignment vertical="top" wrapText="1"/>
    </xf>
    <xf numFmtId="0" fontId="25" fillId="7" borderId="21" xfId="0" applyFont="1" applyFill="1" applyBorder="1" applyAlignment="1">
      <alignment horizontal="left" wrapText="1"/>
    </xf>
    <xf numFmtId="0" fontId="26" fillId="0" borderId="20" xfId="0" applyFont="1" applyBorder="1" applyAlignment="1">
      <alignment horizontal="left" vertical="center" wrapText="1"/>
    </xf>
    <xf numFmtId="0" fontId="16" fillId="0" borderId="20" xfId="0" applyFont="1" applyBorder="1" applyAlignment="1">
      <alignment horizontal="left" vertical="center" wrapText="1" indent="2"/>
    </xf>
    <xf numFmtId="0" fontId="47" fillId="11" borderId="0" xfId="0" applyFont="1" applyFill="1" applyAlignment="1">
      <alignment horizontal="center" vertical="center" wrapText="1"/>
    </xf>
    <xf numFmtId="0" fontId="39" fillId="0" borderId="1" xfId="0" applyFont="1" applyBorder="1" applyAlignment="1">
      <alignment horizontal="center"/>
    </xf>
    <xf numFmtId="0" fontId="40" fillId="11" borderId="32" xfId="0" applyFont="1" applyFill="1" applyBorder="1" applyAlignment="1">
      <alignment horizontal="left"/>
    </xf>
    <xf numFmtId="0" fontId="40" fillId="11" borderId="33" xfId="0" applyFont="1" applyFill="1" applyBorder="1" applyAlignment="1">
      <alignment horizontal="left"/>
    </xf>
    <xf numFmtId="0" fontId="24" fillId="12" borderId="22" xfId="0" applyFont="1" applyFill="1" applyBorder="1" applyAlignment="1">
      <alignment horizontal="center" wrapText="1"/>
    </xf>
    <xf numFmtId="0" fontId="57" fillId="0" borderId="70" xfId="0" applyFont="1" applyBorder="1" applyAlignment="1">
      <alignment horizontal="left" vertical="top" wrapText="1"/>
    </xf>
    <xf numFmtId="0" fontId="57" fillId="0" borderId="78" xfId="0" applyFont="1" applyBorder="1" applyAlignment="1">
      <alignment horizontal="left" vertical="top" wrapText="1"/>
    </xf>
    <xf numFmtId="0" fontId="57" fillId="0" borderId="79" xfId="0" applyFont="1" applyBorder="1" applyAlignment="1">
      <alignment horizontal="left" vertical="top" wrapText="1"/>
    </xf>
    <xf numFmtId="0" fontId="57" fillId="0" borderId="87" xfId="0" applyFont="1" applyBorder="1" applyAlignment="1">
      <alignment horizontal="left" vertical="top" wrapText="1"/>
    </xf>
    <xf numFmtId="0" fontId="57" fillId="0" borderId="88" xfId="0" applyFont="1" applyBorder="1" applyAlignment="1">
      <alignment horizontal="left" vertical="top" wrapText="1"/>
    </xf>
    <xf numFmtId="0" fontId="57" fillId="0" borderId="89" xfId="0" applyFont="1" applyBorder="1" applyAlignment="1">
      <alignment horizontal="left" vertical="top" wrapText="1"/>
    </xf>
    <xf numFmtId="0" fontId="61" fillId="4" borderId="84" xfId="0" applyFont="1" applyFill="1" applyBorder="1" applyAlignment="1">
      <alignment horizontal="left" vertical="center" wrapText="1"/>
    </xf>
    <xf numFmtId="0" fontId="61" fillId="4" borderId="1" xfId="0" applyFont="1" applyFill="1" applyBorder="1" applyAlignment="1">
      <alignment horizontal="left" vertical="center" wrapText="1"/>
    </xf>
    <xf numFmtId="0" fontId="61" fillId="4" borderId="85" xfId="0" applyFont="1" applyFill="1" applyBorder="1" applyAlignment="1">
      <alignment horizontal="left" vertical="center" wrapText="1"/>
    </xf>
    <xf numFmtId="0" fontId="57" fillId="0" borderId="75" xfId="0" applyFont="1" applyBorder="1" applyAlignment="1">
      <alignment horizontal="left" vertical="top" wrapText="1"/>
    </xf>
    <xf numFmtId="0" fontId="57" fillId="0" borderId="76" xfId="0" applyFont="1" applyBorder="1" applyAlignment="1">
      <alignment horizontal="left" vertical="top" wrapText="1"/>
    </xf>
    <xf numFmtId="0" fontId="57" fillId="0" borderId="77" xfId="0" applyFont="1" applyBorder="1" applyAlignment="1">
      <alignment horizontal="left" vertical="top" wrapText="1"/>
    </xf>
    <xf numFmtId="0" fontId="57" fillId="0" borderId="83" xfId="0" applyFont="1" applyBorder="1" applyAlignment="1">
      <alignment horizontal="left" vertical="top" wrapText="1"/>
    </xf>
    <xf numFmtId="0" fontId="61" fillId="4" borderId="80" xfId="0" applyFont="1" applyFill="1" applyBorder="1" applyAlignment="1">
      <alignment horizontal="left" vertical="center" wrapText="1"/>
    </xf>
    <xf numFmtId="0" fontId="61" fillId="4" borderId="0" xfId="0" applyFont="1" applyFill="1" applyAlignment="1">
      <alignment horizontal="left" vertical="center" wrapText="1"/>
    </xf>
    <xf numFmtId="0" fontId="61" fillId="4" borderId="81" xfId="0" applyFont="1" applyFill="1" applyBorder="1" applyAlignment="1">
      <alignment horizontal="left" vertical="center" wrapText="1"/>
    </xf>
    <xf numFmtId="0" fontId="39" fillId="0" borderId="1" xfId="0" applyFont="1" applyBorder="1"/>
    <xf numFmtId="0" fontId="53" fillId="0" borderId="34" xfId="0" applyFont="1" applyBorder="1" applyAlignment="1">
      <alignment horizontal="left" vertical="center" wrapText="1"/>
    </xf>
    <xf numFmtId="0" fontId="53" fillId="0" borderId="31" xfId="0" applyFont="1" applyBorder="1" applyAlignment="1">
      <alignment horizontal="left" vertical="center" wrapText="1"/>
    </xf>
    <xf numFmtId="0" fontId="53" fillId="0" borderId="40" xfId="0" applyFont="1" applyBorder="1" applyAlignment="1">
      <alignment horizontal="left" vertical="center" wrapText="1"/>
    </xf>
    <xf numFmtId="0" fontId="53" fillId="0" borderId="66" xfId="0" applyFont="1" applyBorder="1" applyAlignment="1">
      <alignment horizontal="left" vertical="center" wrapText="1"/>
    </xf>
    <xf numFmtId="0" fontId="54" fillId="11" borderId="67" xfId="0" applyFont="1" applyFill="1" applyBorder="1" applyAlignment="1">
      <alignment horizontal="left" vertical="center" wrapText="1"/>
    </xf>
    <xf numFmtId="0" fontId="54" fillId="11" borderId="68" xfId="0" applyFont="1" applyFill="1" applyBorder="1" applyAlignment="1">
      <alignment horizontal="left" vertical="center" wrapText="1"/>
    </xf>
    <xf numFmtId="0" fontId="54" fillId="11" borderId="69" xfId="0" applyFont="1" applyFill="1" applyBorder="1" applyAlignment="1">
      <alignment horizontal="left" vertical="center" wrapText="1"/>
    </xf>
    <xf numFmtId="0" fontId="3" fillId="6" borderId="0" xfId="0" applyFont="1" applyFill="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695325</xdr:colOff>
          <xdr:row>15</xdr:row>
          <xdr:rowOff>85725</xdr:rowOff>
        </xdr:from>
        <xdr:to>
          <xdr:col>4</xdr:col>
          <xdr:colOff>771525</xdr:colOff>
          <xdr:row>15</xdr:row>
          <xdr:rowOff>466725</xdr:rowOff>
        </xdr:to>
        <xdr:sp macro="" textlink="">
          <xdr:nvSpPr>
            <xdr:cNvPr id="5137" name="Check Box 17" hidden="1">
              <a:extLst>
                <a:ext uri="{63B3BB69-23CF-44E3-9099-C40C66FF867C}">
                  <a14:compatExt spid="_x0000_s5137"/>
                </a:ext>
              </a:extLst>
            </xdr:cNvPr>
            <xdr:cNvSpPr/>
          </xdr:nvSpPr>
          <xdr:spPr>
            <a:xfrm>
              <a:off x="0" y="0"/>
              <a:ext cx="0" cy="0"/>
            </a:xfrm>
            <a:prstGeom prst="rect">
              <a:avLst/>
            </a:prstGeom>
          </xdr:spPr>
          <xdr:txBody>
            <a:bodyPr vertOverflow="clip" wrap="square" lIns="36576" tIns="27432" rIns="0" bIns="27432" anchor="ctr" upright="1"/>
            <a:lstStyle/>
            <a:p>
              <a:pPr algn="l" rtl="0">
                <a:defRPr sz="1000"/>
              </a:pPr>
              <a:r>
                <a:rPr lang="en-GB" sz="1300" b="0" i="0" u="none" strike="noStrike" baseline="0">
                  <a:solidFill>
                    <a:srgbClr val="000000"/>
                  </a:solidFill>
                  <a:latin typeface="Lucida Grande"/>
                </a:rPr>
                <a:t>A. I reviewed the indicator definitions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695325</xdr:colOff>
          <xdr:row>15</xdr:row>
          <xdr:rowOff>371475</xdr:rowOff>
        </xdr:from>
        <xdr:to>
          <xdr:col>3</xdr:col>
          <xdr:colOff>4086225</xdr:colOff>
          <xdr:row>15</xdr:row>
          <xdr:rowOff>752475</xdr:rowOff>
        </xdr:to>
        <xdr:sp macro="" textlink="">
          <xdr:nvSpPr>
            <xdr:cNvPr id="5138" name="Check Box 18" hidden="1">
              <a:extLst>
                <a:ext uri="{63B3BB69-23CF-44E3-9099-C40C66FF867C}">
                  <a14:compatExt spid="_x0000_s5138"/>
                </a:ext>
              </a:extLst>
            </xdr:cNvPr>
            <xdr:cNvSpPr/>
          </xdr:nvSpPr>
          <xdr:spPr>
            <a:xfrm>
              <a:off x="0" y="0"/>
              <a:ext cx="0" cy="0"/>
            </a:xfrm>
            <a:prstGeom prst="rect">
              <a:avLst/>
            </a:prstGeom>
          </xdr:spPr>
          <xdr:txBody>
            <a:bodyPr vertOverflow="clip" wrap="square" lIns="36576" tIns="27432" rIns="0" bIns="27432" anchor="ctr" upright="1"/>
            <a:lstStyle/>
            <a:p>
              <a:pPr algn="l" rtl="0">
                <a:defRPr sz="1000"/>
              </a:pPr>
              <a:r>
                <a:rPr lang="en-GB" sz="1300" b="0" i="0" u="none" strike="noStrike" baseline="0">
                  <a:solidFill>
                    <a:srgbClr val="000000"/>
                  </a:solidFill>
                  <a:latin typeface="Lucida Grande"/>
                </a:rPr>
                <a:t>B. I used the tally sheets provided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695325</xdr:colOff>
          <xdr:row>15</xdr:row>
          <xdr:rowOff>657225</xdr:rowOff>
        </xdr:from>
        <xdr:to>
          <xdr:col>4</xdr:col>
          <xdr:colOff>876300</xdr:colOff>
          <xdr:row>15</xdr:row>
          <xdr:rowOff>1038225</xdr:rowOff>
        </xdr:to>
        <xdr:sp macro="" textlink="">
          <xdr:nvSpPr>
            <xdr:cNvPr id="5141" name="Check Box 21" hidden="1">
              <a:extLst>
                <a:ext uri="{63B3BB69-23CF-44E3-9099-C40C66FF867C}">
                  <a14:compatExt spid="_x0000_s5141"/>
                </a:ext>
              </a:extLst>
            </xdr:cNvPr>
            <xdr:cNvSpPr/>
          </xdr:nvSpPr>
          <xdr:spPr>
            <a:xfrm>
              <a:off x="0" y="0"/>
              <a:ext cx="0" cy="0"/>
            </a:xfrm>
            <a:prstGeom prst="rect">
              <a:avLst/>
            </a:prstGeom>
          </xdr:spPr>
          <xdr:txBody>
            <a:bodyPr vertOverflow="clip" wrap="square" lIns="36576" tIns="27432" rIns="0" bIns="27432" anchor="ctr" upright="1"/>
            <a:lstStyle/>
            <a:p>
              <a:pPr algn="l" rtl="0">
                <a:defRPr sz="1000"/>
              </a:pPr>
              <a:r>
                <a:rPr lang="en-GB" sz="1300" b="0" i="0" u="none" strike="noStrike" baseline="0">
                  <a:solidFill>
                    <a:srgbClr val="000000"/>
                  </a:solidFill>
                  <a:latin typeface="Lucida Grande"/>
                </a:rPr>
                <a:t>C. I reviewed the reporting guidence slides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695325</xdr:colOff>
          <xdr:row>15</xdr:row>
          <xdr:rowOff>952500</xdr:rowOff>
        </xdr:from>
        <xdr:to>
          <xdr:col>4</xdr:col>
          <xdr:colOff>180975</xdr:colOff>
          <xdr:row>15</xdr:row>
          <xdr:rowOff>1333500</xdr:rowOff>
        </xdr:to>
        <xdr:sp macro="" textlink="">
          <xdr:nvSpPr>
            <xdr:cNvPr id="5143" name="Check Box 23" hidden="1">
              <a:extLst>
                <a:ext uri="{63B3BB69-23CF-44E3-9099-C40C66FF867C}">
                  <a14:compatExt spid="_x0000_s5143"/>
                </a:ext>
              </a:extLst>
            </xdr:cNvPr>
            <xdr:cNvSpPr/>
          </xdr:nvSpPr>
          <xdr:spPr>
            <a:xfrm>
              <a:off x="0" y="0"/>
              <a:ext cx="0" cy="0"/>
            </a:xfrm>
            <a:prstGeom prst="rect">
              <a:avLst/>
            </a:prstGeom>
          </xdr:spPr>
          <xdr:txBody>
            <a:bodyPr vertOverflow="clip" wrap="square" lIns="36576" tIns="27432" rIns="0" bIns="27432" anchor="ctr" upright="1"/>
            <a:lstStyle/>
            <a:p>
              <a:pPr algn="l" rtl="0">
                <a:defRPr sz="1000"/>
              </a:pPr>
              <a:r>
                <a:rPr lang="en-GB" sz="1300" b="0" i="0" u="none" strike="noStrike" baseline="0">
                  <a:solidFill>
                    <a:srgbClr val="000000"/>
                  </a:solidFill>
                  <a:latin typeface="Lucida Grande"/>
                </a:rPr>
                <a:t>D. I did not use any tools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9</xdr:row>
          <xdr:rowOff>9525</xdr:rowOff>
        </xdr:from>
        <xdr:to>
          <xdr:col>3</xdr:col>
          <xdr:colOff>2181225</xdr:colOff>
          <xdr:row>9</xdr:row>
          <xdr:rowOff>390525</xdr:rowOff>
        </xdr:to>
        <xdr:sp macro="" textlink="">
          <xdr:nvSpPr>
            <xdr:cNvPr id="5145" name="Check Box 25" hidden="1">
              <a:extLst>
                <a:ext uri="{63B3BB69-23CF-44E3-9099-C40C66FF867C}">
                  <a14:compatExt spid="_x0000_s5145"/>
                </a:ext>
              </a:extLst>
            </xdr:cNvPr>
            <xdr:cNvSpPr/>
          </xdr:nvSpPr>
          <xdr:spPr>
            <a:xfrm>
              <a:off x="0" y="0"/>
              <a:ext cx="0" cy="0"/>
            </a:xfrm>
            <a:prstGeom prst="rect">
              <a:avLst/>
            </a:prstGeom>
          </xdr:spPr>
          <xdr:txBody>
            <a:bodyPr vertOverflow="clip" wrap="square" lIns="36576" tIns="27432" rIns="0" bIns="27432" anchor="ctr" upright="1"/>
            <a:lstStyle/>
            <a:p>
              <a:pPr algn="l" rtl="0">
                <a:defRPr sz="1000"/>
              </a:pPr>
              <a:r>
                <a:rPr lang="en-GB" sz="1300" b="0" i="0" u="none" strike="noStrike" baseline="0">
                  <a:solidFill>
                    <a:srgbClr val="000000"/>
                  </a:solidFill>
                  <a:latin typeface="Lucida Grande"/>
                </a:rPr>
                <a:t>A. Paper file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9</xdr:row>
          <xdr:rowOff>304800</xdr:rowOff>
        </xdr:from>
        <xdr:to>
          <xdr:col>4</xdr:col>
          <xdr:colOff>180975</xdr:colOff>
          <xdr:row>9</xdr:row>
          <xdr:rowOff>685800</xdr:rowOff>
        </xdr:to>
        <xdr:sp macro="" textlink="">
          <xdr:nvSpPr>
            <xdr:cNvPr id="5146" name="Check Box 26" hidden="1">
              <a:extLst>
                <a:ext uri="{63B3BB69-23CF-44E3-9099-C40C66FF867C}">
                  <a14:compatExt spid="_x0000_s5146"/>
                </a:ext>
              </a:extLst>
            </xdr:cNvPr>
            <xdr:cNvSpPr/>
          </xdr:nvSpPr>
          <xdr:spPr>
            <a:xfrm>
              <a:off x="0" y="0"/>
              <a:ext cx="0" cy="0"/>
            </a:xfrm>
            <a:prstGeom prst="rect">
              <a:avLst/>
            </a:prstGeom>
          </xdr:spPr>
          <xdr:txBody>
            <a:bodyPr vertOverflow="clip" wrap="square" lIns="36576" tIns="27432" rIns="0" bIns="27432" anchor="ctr" upright="1"/>
            <a:lstStyle/>
            <a:p>
              <a:pPr algn="l" rtl="0">
                <a:defRPr sz="1000"/>
              </a:pPr>
              <a:r>
                <a:rPr lang="en-GB" sz="1300" b="0" i="0" u="none" strike="noStrike" baseline="0">
                  <a:solidFill>
                    <a:srgbClr val="000000"/>
                  </a:solidFill>
                  <a:latin typeface="Lucida Grande"/>
                </a:rPr>
                <a:t>B. Electronic Health Record system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9</xdr:row>
          <xdr:rowOff>581025</xdr:rowOff>
        </xdr:from>
        <xdr:to>
          <xdr:col>3</xdr:col>
          <xdr:colOff>3667125</xdr:colOff>
          <xdr:row>9</xdr:row>
          <xdr:rowOff>962025</xdr:rowOff>
        </xdr:to>
        <xdr:sp macro="" textlink="">
          <xdr:nvSpPr>
            <xdr:cNvPr id="5147" name="Check Box 27" hidden="1">
              <a:extLst>
                <a:ext uri="{63B3BB69-23CF-44E3-9099-C40C66FF867C}">
                  <a14:compatExt spid="_x0000_s5147"/>
                </a:ext>
              </a:extLst>
            </xdr:cNvPr>
            <xdr:cNvSpPr/>
          </xdr:nvSpPr>
          <xdr:spPr>
            <a:xfrm>
              <a:off x="0" y="0"/>
              <a:ext cx="0" cy="0"/>
            </a:xfrm>
            <a:prstGeom prst="rect">
              <a:avLst/>
            </a:prstGeom>
          </xdr:spPr>
          <xdr:txBody>
            <a:bodyPr vertOverflow="clip" wrap="square" lIns="36576" tIns="27432" rIns="0" bIns="27432" anchor="ctr" upright="1"/>
            <a:lstStyle/>
            <a:p>
              <a:pPr algn="l" rtl="0">
                <a:defRPr sz="1000"/>
              </a:pPr>
              <a:r>
                <a:rPr lang="en-GB" sz="1300" b="0" i="0" u="none" strike="noStrike" baseline="0">
                  <a:solidFill>
                    <a:srgbClr val="000000"/>
                  </a:solidFill>
                  <a:latin typeface="Lucida Grande"/>
                </a:rPr>
                <a:t>C. Excel sheet or workbook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9</xdr:row>
          <xdr:rowOff>876300</xdr:rowOff>
        </xdr:from>
        <xdr:to>
          <xdr:col>4</xdr:col>
          <xdr:colOff>885825</xdr:colOff>
          <xdr:row>9</xdr:row>
          <xdr:rowOff>1257300</xdr:rowOff>
        </xdr:to>
        <xdr:sp macro="" textlink="">
          <xdr:nvSpPr>
            <xdr:cNvPr id="5148" name="Check Box 28" hidden="1">
              <a:extLst>
                <a:ext uri="{63B3BB69-23CF-44E3-9099-C40C66FF867C}">
                  <a14:compatExt spid="_x0000_s5148"/>
                </a:ext>
              </a:extLst>
            </xdr:cNvPr>
            <xdr:cNvSpPr/>
          </xdr:nvSpPr>
          <xdr:spPr>
            <a:xfrm>
              <a:off x="0" y="0"/>
              <a:ext cx="0" cy="0"/>
            </a:xfrm>
            <a:prstGeom prst="rect">
              <a:avLst/>
            </a:prstGeom>
          </xdr:spPr>
          <xdr:txBody>
            <a:bodyPr vertOverflow="clip" wrap="square" lIns="36576" tIns="27432" rIns="0" bIns="27432" anchor="ctr" upright="1"/>
            <a:lstStyle/>
            <a:p>
              <a:pPr algn="l" rtl="0">
                <a:defRPr sz="1000"/>
              </a:pPr>
              <a:r>
                <a:rPr lang="en-GB" sz="1300" b="0" i="0" u="none" strike="noStrike" baseline="0">
                  <a:solidFill>
                    <a:srgbClr val="000000"/>
                  </a:solidFill>
                  <a:latin typeface="Lucida Grande"/>
                </a:rPr>
                <a:t>D. Another digital system (e.g. digital survey tool)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9</xdr:row>
          <xdr:rowOff>1171575</xdr:rowOff>
        </xdr:from>
        <xdr:to>
          <xdr:col>4</xdr:col>
          <xdr:colOff>647700</xdr:colOff>
          <xdr:row>9</xdr:row>
          <xdr:rowOff>1552575</xdr:rowOff>
        </xdr:to>
        <xdr:sp macro="" textlink="">
          <xdr:nvSpPr>
            <xdr:cNvPr id="5149" name="Check Box 29" hidden="1">
              <a:extLst>
                <a:ext uri="{63B3BB69-23CF-44E3-9099-C40C66FF867C}">
                  <a14:compatExt spid="_x0000_s5149"/>
                </a:ext>
              </a:extLst>
            </xdr:cNvPr>
            <xdr:cNvSpPr/>
          </xdr:nvSpPr>
          <xdr:spPr>
            <a:xfrm>
              <a:off x="0" y="0"/>
              <a:ext cx="0" cy="0"/>
            </a:xfrm>
            <a:prstGeom prst="rect">
              <a:avLst/>
            </a:prstGeom>
          </xdr:spPr>
          <xdr:txBody>
            <a:bodyPr vertOverflow="clip" wrap="square" lIns="36576" tIns="27432" rIns="0" bIns="27432" anchor="ctr" upright="1"/>
            <a:lstStyle/>
            <a:p>
              <a:pPr algn="l" rtl="0">
                <a:defRPr sz="1000"/>
              </a:pPr>
              <a:r>
                <a:rPr lang="en-GB" sz="1300" b="0" i="0" u="none" strike="noStrike" baseline="0">
                  <a:solidFill>
                    <a:srgbClr val="000000"/>
                  </a:solidFill>
                  <a:latin typeface="Lucida Grande"/>
                </a:rPr>
                <a:t>E. Other (please describe below)</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5.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1"/>
  <sheetViews>
    <sheetView topLeftCell="A25" workbookViewId="0">
      <selection activeCell="B24" sqref="B24"/>
    </sheetView>
  </sheetViews>
  <sheetFormatPr defaultColWidth="8.85546875" defaultRowHeight="15"/>
  <cols>
    <col min="1" max="1" width="5.42578125" style="123" customWidth="1"/>
    <col min="2" max="2" width="179.140625" style="126" customWidth="1"/>
    <col min="3" max="16384" width="8.85546875" style="123"/>
  </cols>
  <sheetData>
    <row r="2" spans="2:2" ht="30" customHeight="1">
      <c r="B2" s="121" t="s">
        <v>221</v>
      </c>
    </row>
    <row r="3" spans="2:2" ht="47.1" customHeight="1">
      <c r="B3" s="122" t="s">
        <v>222</v>
      </c>
    </row>
    <row r="4" spans="2:2" ht="23.25">
      <c r="B4" s="127" t="s">
        <v>194</v>
      </c>
    </row>
    <row r="5" spans="2:2" ht="23.25">
      <c r="B5" s="127" t="s">
        <v>195</v>
      </c>
    </row>
    <row r="6" spans="2:2" ht="15.75">
      <c r="B6" s="124"/>
    </row>
    <row r="7" spans="2:2" ht="15.75">
      <c r="B7" s="124"/>
    </row>
    <row r="8" spans="2:2" ht="15.75">
      <c r="B8" s="124"/>
    </row>
    <row r="9" spans="2:2" ht="18.75">
      <c r="B9" s="130" t="s">
        <v>0</v>
      </c>
    </row>
    <row r="10" spans="2:2" ht="72.75" customHeight="1">
      <c r="B10" s="131" t="s">
        <v>1</v>
      </c>
    </row>
    <row r="11" spans="2:2" ht="18.75">
      <c r="B11" s="129"/>
    </row>
    <row r="12" spans="2:2" ht="18.75">
      <c r="B12" s="130" t="s">
        <v>196</v>
      </c>
    </row>
    <row r="13" spans="2:2" ht="18.75">
      <c r="B13" s="128" t="s">
        <v>198</v>
      </c>
    </row>
    <row r="14" spans="2:2" ht="37.5">
      <c r="B14" s="129" t="s">
        <v>197</v>
      </c>
    </row>
    <row r="15" spans="2:2" ht="37.5">
      <c r="B15" s="132" t="s">
        <v>251</v>
      </c>
    </row>
    <row r="16" spans="2:2" ht="18.75">
      <c r="B16" s="132" t="s">
        <v>352</v>
      </c>
    </row>
    <row r="17" spans="2:2" ht="18.75">
      <c r="B17" s="132" t="s">
        <v>353</v>
      </c>
    </row>
    <row r="18" spans="2:2" ht="37.5">
      <c r="B18" s="132" t="s">
        <v>354</v>
      </c>
    </row>
    <row r="19" spans="2:2" ht="37.5">
      <c r="B19" s="132" t="s">
        <v>355</v>
      </c>
    </row>
    <row r="20" spans="2:2" ht="18.75">
      <c r="B20" s="132" t="s">
        <v>356</v>
      </c>
    </row>
    <row r="21" spans="2:2">
      <c r="B21" s="12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9"/>
  <sheetViews>
    <sheetView topLeftCell="A40" workbookViewId="0">
      <selection activeCell="Y71" sqref="Y71"/>
    </sheetView>
  </sheetViews>
  <sheetFormatPr defaultColWidth="9.140625" defaultRowHeight="15"/>
  <cols>
    <col min="1" max="1" width="9.140625" style="27"/>
    <col min="2" max="2" width="4.85546875" style="27" customWidth="1"/>
    <col min="3" max="3" width="9.140625" style="27" customWidth="1"/>
    <col min="4" max="4" width="28.140625" style="27" customWidth="1"/>
    <col min="5" max="5" width="5.42578125" style="27" customWidth="1"/>
    <col min="6" max="8" width="9.85546875" style="27" customWidth="1"/>
    <col min="9" max="10" width="8.140625" style="28" customWidth="1"/>
    <col min="11" max="11" width="8.5703125" style="27" customWidth="1"/>
    <col min="12" max="13" width="9" style="28" customWidth="1"/>
    <col min="14" max="14" width="8.42578125" style="27" customWidth="1"/>
    <col min="15" max="16" width="8.5703125" style="28" customWidth="1"/>
    <col min="17" max="17" width="9.42578125" style="27" customWidth="1"/>
    <col min="18" max="18" width="8.5703125" style="28" customWidth="1"/>
    <col min="19" max="19" width="8.42578125" style="27" customWidth="1"/>
    <col min="20" max="20" width="8" style="27" customWidth="1"/>
    <col min="21" max="21" width="9.5703125" style="27" customWidth="1"/>
    <col min="22" max="23" width="9.140625" style="27" customWidth="1"/>
    <col min="24" max="24" width="16.85546875" style="27" customWidth="1"/>
    <col min="25" max="25" width="9.140625" style="27" customWidth="1"/>
    <col min="26" max="26" width="12.140625" style="27" customWidth="1"/>
    <col min="27" max="27" width="9.140625" style="27" customWidth="1"/>
    <col min="28" max="33" width="9.140625" style="27"/>
    <col min="34" max="34" width="9.140625" style="27" customWidth="1"/>
    <col min="35" max="35" width="9.140625" style="27"/>
    <col min="36" max="41" width="9.140625" style="27" hidden="1" customWidth="1"/>
    <col min="42" max="16384" width="9.140625" style="27"/>
  </cols>
  <sheetData>
    <row r="1" spans="1:36" s="21" customFormat="1" ht="26.25" customHeight="1">
      <c r="B1" s="242" t="s">
        <v>166</v>
      </c>
      <c r="C1" s="242"/>
      <c r="D1" s="242"/>
      <c r="E1" s="17" t="s">
        <v>2</v>
      </c>
      <c r="F1" s="18" t="s">
        <v>2</v>
      </c>
      <c r="G1" s="17" t="s">
        <v>2</v>
      </c>
      <c r="H1" s="17"/>
      <c r="I1" s="17" t="s">
        <v>2</v>
      </c>
      <c r="J1" s="17"/>
      <c r="K1" s="18" t="s">
        <v>2</v>
      </c>
      <c r="L1" s="19" t="s">
        <v>2</v>
      </c>
      <c r="M1" s="19"/>
      <c r="N1" s="19" t="s">
        <v>2</v>
      </c>
      <c r="O1" s="19" t="s">
        <v>2</v>
      </c>
      <c r="P1" s="19" t="s">
        <v>2</v>
      </c>
      <c r="Q1" s="20" t="s">
        <v>2</v>
      </c>
      <c r="R1" s="20" t="s">
        <v>2</v>
      </c>
      <c r="S1" s="20" t="s">
        <v>2</v>
      </c>
      <c r="T1" s="20" t="s">
        <v>2</v>
      </c>
      <c r="W1" s="27"/>
      <c r="X1" s="27"/>
    </row>
    <row r="2" spans="1:36" s="21" customFormat="1" ht="23.25">
      <c r="B2" s="11" t="s">
        <v>3</v>
      </c>
      <c r="C2" s="11"/>
      <c r="D2" s="22"/>
      <c r="E2" s="23"/>
      <c r="F2" s="23"/>
      <c r="G2" s="24"/>
      <c r="H2" s="24"/>
      <c r="I2" s="24"/>
      <c r="J2" s="24"/>
      <c r="K2" s="23"/>
      <c r="L2" s="25"/>
      <c r="M2" s="25"/>
      <c r="Q2" s="110" t="s">
        <v>4</v>
      </c>
      <c r="R2" s="255"/>
      <c r="S2" s="256"/>
      <c r="T2" s="257"/>
      <c r="W2" s="27"/>
      <c r="X2" s="27"/>
    </row>
    <row r="3" spans="1:36" s="21" customFormat="1" ht="15.75">
      <c r="A3" s="27"/>
      <c r="B3" s="12" t="s">
        <v>5</v>
      </c>
      <c r="C3" s="12"/>
      <c r="D3" s="24"/>
      <c r="E3" s="23"/>
      <c r="F3" s="23"/>
      <c r="G3" s="23"/>
      <c r="H3" s="23"/>
      <c r="I3" s="26"/>
      <c r="J3" s="26"/>
      <c r="K3" s="26"/>
      <c r="L3" s="27"/>
      <c r="M3" s="27"/>
      <c r="Q3" s="110" t="s">
        <v>6</v>
      </c>
      <c r="R3" s="258"/>
      <c r="S3" s="259"/>
      <c r="T3" s="260"/>
      <c r="W3" s="27"/>
      <c r="X3" s="27"/>
    </row>
    <row r="4" spans="1:36" ht="15.75" thickBot="1">
      <c r="B4" s="60"/>
      <c r="C4" s="60"/>
      <c r="D4" s="61"/>
      <c r="E4" s="61"/>
      <c r="F4" s="61"/>
      <c r="G4" s="61"/>
      <c r="H4" s="61"/>
      <c r="I4" s="62"/>
      <c r="J4" s="62"/>
      <c r="K4" s="61"/>
      <c r="L4" s="62"/>
      <c r="M4" s="62"/>
      <c r="N4" s="59"/>
      <c r="O4" s="63"/>
      <c r="P4" s="63"/>
      <c r="Q4" s="64"/>
      <c r="R4" s="65"/>
      <c r="S4" s="66"/>
      <c r="T4" s="59"/>
    </row>
    <row r="5" spans="1:36" ht="20.25" customHeight="1">
      <c r="B5" s="243" t="s">
        <v>167</v>
      </c>
      <c r="C5" s="244"/>
      <c r="D5" s="244"/>
      <c r="E5" s="244"/>
      <c r="F5" s="244"/>
      <c r="G5" s="244"/>
      <c r="H5" s="244"/>
      <c r="I5" s="244"/>
      <c r="J5" s="244"/>
      <c r="K5" s="244"/>
      <c r="L5" s="244"/>
      <c r="M5" s="244"/>
      <c r="N5" s="244"/>
      <c r="O5" s="244"/>
      <c r="P5" s="244"/>
      <c r="Q5" s="244"/>
      <c r="R5" s="244"/>
      <c r="S5" s="244"/>
      <c r="T5" s="245"/>
      <c r="U5" s="29"/>
    </row>
    <row r="6" spans="1:36" ht="15.75" customHeight="1">
      <c r="B6" s="246" t="s">
        <v>168</v>
      </c>
      <c r="C6" s="247"/>
      <c r="D6" s="247"/>
      <c r="E6" s="247"/>
      <c r="F6" s="247"/>
      <c r="G6" s="247"/>
      <c r="H6" s="247"/>
      <c r="I6" s="247"/>
      <c r="J6" s="247"/>
      <c r="K6" s="247"/>
      <c r="L6" s="247"/>
      <c r="M6" s="247"/>
      <c r="N6" s="247"/>
      <c r="O6" s="247"/>
      <c r="P6" s="247"/>
      <c r="Q6" s="247"/>
      <c r="R6" s="247"/>
      <c r="S6" s="247"/>
      <c r="T6" s="248"/>
      <c r="U6" s="29"/>
    </row>
    <row r="7" spans="1:36" ht="29.25" customHeight="1" thickBot="1">
      <c r="B7" s="249"/>
      <c r="C7" s="250"/>
      <c r="D7" s="250"/>
      <c r="E7" s="250"/>
      <c r="F7" s="250"/>
      <c r="G7" s="250"/>
      <c r="H7" s="250"/>
      <c r="I7" s="250"/>
      <c r="J7" s="250"/>
      <c r="K7" s="250"/>
      <c r="L7" s="250"/>
      <c r="M7" s="250"/>
      <c r="N7" s="250"/>
      <c r="O7" s="250"/>
      <c r="P7" s="250"/>
      <c r="Q7" s="250"/>
      <c r="R7" s="250"/>
      <c r="S7" s="250"/>
      <c r="T7" s="251"/>
      <c r="U7" s="29"/>
    </row>
    <row r="9" spans="1:36" ht="18" customHeight="1">
      <c r="A9" s="59"/>
      <c r="B9" s="252" t="s">
        <v>7</v>
      </c>
      <c r="C9" s="252"/>
      <c r="D9" s="252"/>
      <c r="E9" s="30"/>
      <c r="F9" s="30"/>
      <c r="G9" s="30"/>
      <c r="H9" s="30"/>
      <c r="I9" s="31"/>
      <c r="J9" s="31"/>
      <c r="K9" s="30"/>
      <c r="L9" s="31"/>
      <c r="M9" s="31"/>
      <c r="N9" s="30"/>
      <c r="O9" s="31"/>
      <c r="P9" s="31"/>
      <c r="Q9" s="30"/>
      <c r="R9" s="31"/>
      <c r="S9" s="32"/>
      <c r="T9" s="32"/>
    </row>
    <row r="10" spans="1:36" ht="15.75" customHeight="1">
      <c r="A10" s="57"/>
      <c r="B10" s="241"/>
      <c r="C10" s="241"/>
      <c r="D10" s="241"/>
      <c r="E10" s="111"/>
      <c r="F10" s="111"/>
      <c r="G10" s="234" t="s">
        <v>8</v>
      </c>
      <c r="H10" s="234"/>
      <c r="I10" s="234"/>
      <c r="J10" s="112"/>
      <c r="K10" s="234" t="s">
        <v>9</v>
      </c>
      <c r="L10" s="234"/>
      <c r="M10" s="112"/>
      <c r="N10" s="234" t="s">
        <v>10</v>
      </c>
      <c r="O10" s="234"/>
      <c r="P10" s="112"/>
      <c r="Q10" s="234" t="s">
        <v>11</v>
      </c>
      <c r="R10" s="234"/>
      <c r="S10" s="33" t="s">
        <v>12</v>
      </c>
      <c r="T10" s="34" t="s">
        <v>13</v>
      </c>
      <c r="V10" s="24"/>
      <c r="W10" s="24"/>
      <c r="X10" s="24"/>
      <c r="Y10" s="24"/>
      <c r="Z10" s="24"/>
    </row>
    <row r="11" spans="1:36" ht="15" customHeight="1">
      <c r="A11" s="58"/>
      <c r="B11" s="253" t="s">
        <v>169</v>
      </c>
      <c r="C11" s="254"/>
      <c r="D11" s="254"/>
      <c r="E11" s="113"/>
      <c r="F11" s="113"/>
      <c r="G11" s="35" t="s">
        <v>15</v>
      </c>
      <c r="H11" s="35" t="s">
        <v>170</v>
      </c>
      <c r="I11" s="36" t="s">
        <v>171</v>
      </c>
      <c r="J11" s="36" t="s">
        <v>15</v>
      </c>
      <c r="K11" s="35" t="s">
        <v>170</v>
      </c>
      <c r="L11" s="36" t="s">
        <v>171</v>
      </c>
      <c r="M11" s="36" t="s">
        <v>15</v>
      </c>
      <c r="N11" s="35" t="s">
        <v>170</v>
      </c>
      <c r="O11" s="36" t="s">
        <v>171</v>
      </c>
      <c r="P11" s="36" t="s">
        <v>15</v>
      </c>
      <c r="Q11" s="35" t="s">
        <v>170</v>
      </c>
      <c r="R11" s="36" t="s">
        <v>171</v>
      </c>
      <c r="S11" s="37" t="s">
        <v>172</v>
      </c>
      <c r="T11" s="38" t="s">
        <v>172</v>
      </c>
      <c r="AJ11" s="27" t="s">
        <v>173</v>
      </c>
    </row>
    <row r="12" spans="1:36" ht="21" customHeight="1">
      <c r="A12" s="67"/>
      <c r="B12" s="268" t="s">
        <v>174</v>
      </c>
      <c r="C12" s="268"/>
      <c r="D12" s="268"/>
      <c r="E12" s="268"/>
      <c r="F12" s="268"/>
      <c r="G12" s="277"/>
      <c r="H12" s="277"/>
      <c r="I12" s="278"/>
      <c r="J12" s="279"/>
      <c r="K12" s="277"/>
      <c r="L12" s="278"/>
      <c r="M12" s="273"/>
      <c r="N12" s="274"/>
      <c r="O12" s="276"/>
      <c r="P12" s="273"/>
      <c r="Q12" s="274"/>
      <c r="R12" s="275"/>
      <c r="S12" s="42"/>
      <c r="T12" s="43"/>
      <c r="AJ12" s="27" t="s">
        <v>173</v>
      </c>
    </row>
    <row r="13" spans="1:36" ht="21" customHeight="1">
      <c r="A13" s="67"/>
      <c r="B13" s="272" t="s">
        <v>110</v>
      </c>
      <c r="C13" s="272"/>
      <c r="D13" s="272"/>
      <c r="E13" s="272"/>
      <c r="F13" s="272"/>
      <c r="G13" s="114"/>
      <c r="H13" s="39"/>
      <c r="I13" s="40"/>
      <c r="J13" s="40"/>
      <c r="K13" s="39"/>
      <c r="L13" s="40"/>
      <c r="M13" s="40"/>
      <c r="N13" s="39"/>
      <c r="O13" s="41"/>
      <c r="P13" s="41"/>
      <c r="Q13" s="118"/>
      <c r="R13" s="115"/>
      <c r="S13" s="44"/>
      <c r="T13" s="45"/>
      <c r="AJ13" s="27" t="s">
        <v>173</v>
      </c>
    </row>
    <row r="14" spans="1:36" ht="18.75" customHeight="1">
      <c r="A14" s="67"/>
      <c r="B14" s="268" t="s">
        <v>175</v>
      </c>
      <c r="C14" s="268"/>
      <c r="D14" s="268"/>
      <c r="E14" s="268"/>
      <c r="F14" s="268"/>
      <c r="G14" s="274"/>
      <c r="H14" s="274"/>
      <c r="I14" s="276"/>
      <c r="J14" s="273"/>
      <c r="K14" s="274"/>
      <c r="L14" s="276"/>
      <c r="M14" s="238"/>
      <c r="N14" s="239"/>
      <c r="O14" s="240"/>
      <c r="P14" s="263"/>
      <c r="Q14" s="264"/>
      <c r="R14" s="265"/>
      <c r="S14" s="46"/>
      <c r="T14" s="43"/>
      <c r="AJ14" s="27" t="s">
        <v>173</v>
      </c>
    </row>
    <row r="15" spans="1:36" ht="16.5" customHeight="1">
      <c r="A15" s="67"/>
      <c r="B15" s="268" t="s">
        <v>30</v>
      </c>
      <c r="C15" s="268"/>
      <c r="D15" s="268"/>
      <c r="E15" s="268"/>
      <c r="F15" s="268"/>
      <c r="G15" s="114"/>
      <c r="H15" s="39">
        <v>90</v>
      </c>
      <c r="I15" s="40"/>
      <c r="J15" s="40"/>
      <c r="K15" s="39">
        <v>90</v>
      </c>
      <c r="L15" s="40"/>
      <c r="M15" s="40"/>
      <c r="N15" s="39">
        <v>90</v>
      </c>
      <c r="O15" s="41"/>
      <c r="P15" s="41"/>
      <c r="Q15" s="47">
        <v>90</v>
      </c>
      <c r="R15" s="115"/>
      <c r="S15" s="44"/>
      <c r="T15" s="43"/>
      <c r="AJ15" s="27" t="s">
        <v>173</v>
      </c>
    </row>
    <row r="16" spans="1:36" ht="21" customHeight="1">
      <c r="B16" s="49"/>
      <c r="C16" s="49"/>
      <c r="D16" s="49"/>
      <c r="E16" s="49"/>
      <c r="F16" s="49"/>
      <c r="G16" s="49"/>
      <c r="H16" s="49"/>
      <c r="I16" s="49"/>
      <c r="J16" s="49"/>
      <c r="K16" s="49"/>
      <c r="L16" s="49"/>
      <c r="M16" s="49"/>
      <c r="N16" s="49"/>
      <c r="O16" s="49"/>
      <c r="P16" s="49"/>
      <c r="Q16" s="49"/>
      <c r="R16" s="49"/>
      <c r="S16" s="50"/>
    </row>
    <row r="17" spans="1:36" ht="18.75">
      <c r="A17" s="59"/>
      <c r="B17" s="252" t="s">
        <v>176</v>
      </c>
      <c r="C17" s="252"/>
      <c r="D17" s="252"/>
      <c r="E17" s="30"/>
      <c r="F17" s="30"/>
      <c r="G17" s="30"/>
      <c r="H17" s="30"/>
      <c r="I17" s="31"/>
      <c r="J17" s="31"/>
      <c r="K17" s="30"/>
      <c r="L17" s="31"/>
      <c r="M17" s="31"/>
      <c r="N17" s="30"/>
      <c r="O17" s="31"/>
      <c r="P17" s="31"/>
      <c r="Q17" s="30"/>
      <c r="R17" s="31"/>
      <c r="S17" s="32"/>
      <c r="T17" s="32"/>
      <c r="U17" s="51"/>
    </row>
    <row r="18" spans="1:36">
      <c r="A18" s="57"/>
      <c r="B18" s="241"/>
      <c r="C18" s="241"/>
      <c r="D18" s="241"/>
      <c r="E18" s="111"/>
      <c r="F18" s="111"/>
      <c r="G18" s="234" t="s">
        <v>8</v>
      </c>
      <c r="H18" s="234"/>
      <c r="I18" s="234"/>
      <c r="J18" s="112"/>
      <c r="K18" s="234" t="s">
        <v>9</v>
      </c>
      <c r="L18" s="234"/>
      <c r="M18" s="112"/>
      <c r="N18" s="234" t="s">
        <v>10</v>
      </c>
      <c r="O18" s="234"/>
      <c r="P18" s="112"/>
      <c r="Q18" s="234" t="s">
        <v>11</v>
      </c>
      <c r="R18" s="234"/>
      <c r="S18" s="33" t="s">
        <v>12</v>
      </c>
      <c r="T18" s="34" t="s">
        <v>13</v>
      </c>
    </row>
    <row r="19" spans="1:36">
      <c r="A19" s="58"/>
      <c r="B19" s="254"/>
      <c r="C19" s="254"/>
      <c r="D19" s="254"/>
      <c r="E19" s="113"/>
      <c r="F19" s="113"/>
      <c r="G19" s="35" t="s">
        <v>15</v>
      </c>
      <c r="H19" s="35" t="s">
        <v>170</v>
      </c>
      <c r="I19" s="36" t="s">
        <v>171</v>
      </c>
      <c r="J19" s="36" t="s">
        <v>15</v>
      </c>
      <c r="K19" s="35" t="s">
        <v>170</v>
      </c>
      <c r="L19" s="36" t="s">
        <v>171</v>
      </c>
      <c r="M19" s="36" t="s">
        <v>15</v>
      </c>
      <c r="N19" s="35" t="s">
        <v>170</v>
      </c>
      <c r="O19" s="36" t="s">
        <v>171</v>
      </c>
      <c r="P19" s="36" t="s">
        <v>15</v>
      </c>
      <c r="Q19" s="35" t="s">
        <v>170</v>
      </c>
      <c r="R19" s="36" t="s">
        <v>171</v>
      </c>
      <c r="S19" s="37" t="s">
        <v>172</v>
      </c>
      <c r="T19" s="38" t="s">
        <v>172</v>
      </c>
      <c r="V19" s="24"/>
      <c r="Y19" s="24"/>
      <c r="Z19" s="24"/>
    </row>
    <row r="20" spans="1:36" ht="15" customHeight="1">
      <c r="A20" s="54" t="s">
        <v>32</v>
      </c>
      <c r="B20" s="269" t="s">
        <v>177</v>
      </c>
      <c r="C20" s="269"/>
      <c r="D20" s="269"/>
      <c r="E20" s="269"/>
      <c r="F20" s="269"/>
      <c r="G20" s="262"/>
      <c r="H20" s="262"/>
      <c r="I20" s="262"/>
      <c r="J20" s="117"/>
      <c r="K20" s="39"/>
      <c r="L20" s="40"/>
      <c r="M20" s="40"/>
      <c r="N20" s="39"/>
      <c r="O20" s="41"/>
      <c r="P20" s="41"/>
      <c r="Q20" s="118"/>
      <c r="R20" s="115"/>
      <c r="S20" s="42"/>
      <c r="T20" s="43"/>
      <c r="AJ20" s="27" t="s">
        <v>178</v>
      </c>
    </row>
    <row r="21" spans="1:36" ht="15" customHeight="1">
      <c r="A21" s="54"/>
      <c r="B21" s="293" t="s">
        <v>179</v>
      </c>
      <c r="C21" s="294"/>
      <c r="D21" s="294"/>
      <c r="E21" s="294"/>
      <c r="F21" s="295"/>
      <c r="G21" s="117"/>
      <c r="H21" s="117"/>
      <c r="I21" s="117"/>
      <c r="J21" s="117"/>
      <c r="K21" s="39"/>
      <c r="L21" s="40"/>
      <c r="M21" s="40"/>
      <c r="N21" s="39"/>
      <c r="O21" s="41"/>
      <c r="P21" s="41"/>
      <c r="Q21" s="118"/>
      <c r="R21" s="115"/>
      <c r="S21" s="42"/>
      <c r="T21" s="43"/>
    </row>
    <row r="22" spans="1:36" ht="15" customHeight="1">
      <c r="A22" s="54" t="s">
        <v>34</v>
      </c>
      <c r="B22" s="307" t="s">
        <v>180</v>
      </c>
      <c r="C22" s="271"/>
      <c r="D22" s="271"/>
      <c r="E22" s="271"/>
      <c r="F22" s="271"/>
      <c r="G22" s="39"/>
      <c r="H22" s="39"/>
      <c r="I22" s="40"/>
      <c r="J22" s="40"/>
      <c r="K22" s="39"/>
      <c r="L22" s="40"/>
      <c r="M22" s="40"/>
      <c r="N22" s="39"/>
      <c r="O22" s="41"/>
      <c r="P22" s="41"/>
      <c r="Q22" s="118"/>
      <c r="R22" s="115"/>
      <c r="S22" s="44"/>
      <c r="T22" s="45"/>
      <c r="AJ22" s="27" t="s">
        <v>178</v>
      </c>
    </row>
    <row r="23" spans="1:36" ht="15" customHeight="1">
      <c r="A23" s="54" t="s">
        <v>54</v>
      </c>
      <c r="B23" s="270" t="s">
        <v>181</v>
      </c>
      <c r="C23" s="270"/>
      <c r="D23" s="270"/>
      <c r="E23" s="270"/>
      <c r="F23" s="270"/>
      <c r="G23" s="52"/>
      <c r="H23" s="52"/>
      <c r="I23" s="52"/>
      <c r="J23" s="39"/>
      <c r="K23" s="39"/>
      <c r="L23" s="40"/>
      <c r="M23" s="40"/>
      <c r="N23" s="39"/>
      <c r="O23" s="41"/>
      <c r="P23" s="41"/>
      <c r="Q23" s="118"/>
      <c r="R23" s="115"/>
      <c r="S23" s="46"/>
      <c r="T23" s="43"/>
      <c r="AJ23" s="27" t="s">
        <v>178</v>
      </c>
    </row>
    <row r="24" spans="1:36" ht="15" customHeight="1">
      <c r="A24" s="54" t="s">
        <v>56</v>
      </c>
      <c r="B24" s="270" t="s">
        <v>182</v>
      </c>
      <c r="C24" s="270"/>
      <c r="D24" s="270"/>
      <c r="E24" s="270"/>
      <c r="F24" s="270"/>
      <c r="G24" s="39"/>
      <c r="H24" s="39"/>
      <c r="I24" s="40"/>
      <c r="J24" s="40"/>
      <c r="K24" s="39"/>
      <c r="L24" s="40"/>
      <c r="M24" s="40"/>
      <c r="N24" s="39"/>
      <c r="O24" s="41"/>
      <c r="P24" s="41"/>
      <c r="Q24" s="47"/>
      <c r="R24" s="115"/>
      <c r="S24" s="44"/>
      <c r="T24" s="43"/>
      <c r="AJ24" s="27" t="s">
        <v>178</v>
      </c>
    </row>
    <row r="25" spans="1:36" ht="15" customHeight="1">
      <c r="A25" s="54" t="s">
        <v>59</v>
      </c>
      <c r="B25" s="271" t="s">
        <v>183</v>
      </c>
      <c r="C25" s="271"/>
      <c r="D25" s="271"/>
      <c r="E25" s="271"/>
      <c r="F25" s="271"/>
      <c r="G25" s="235"/>
      <c r="H25" s="236"/>
      <c r="I25" s="237"/>
      <c r="J25" s="238"/>
      <c r="K25" s="239"/>
      <c r="L25" s="240"/>
      <c r="M25" s="238"/>
      <c r="N25" s="239"/>
      <c r="O25" s="240"/>
      <c r="P25" s="238"/>
      <c r="Q25" s="239"/>
      <c r="R25" s="240"/>
      <c r="S25" s="44"/>
      <c r="T25" s="43"/>
      <c r="AJ25" s="27" t="s">
        <v>178</v>
      </c>
    </row>
    <row r="26" spans="1:36" ht="15" customHeight="1">
      <c r="A26" s="54" t="s">
        <v>61</v>
      </c>
      <c r="B26" s="271" t="s">
        <v>184</v>
      </c>
      <c r="C26" s="271"/>
      <c r="D26" s="271"/>
      <c r="E26" s="271"/>
      <c r="F26" s="271"/>
      <c r="G26" s="235"/>
      <c r="H26" s="236"/>
      <c r="I26" s="237"/>
      <c r="J26" s="238"/>
      <c r="K26" s="239"/>
      <c r="L26" s="240"/>
      <c r="M26" s="238"/>
      <c r="N26" s="239"/>
      <c r="O26" s="240"/>
      <c r="P26" s="263"/>
      <c r="Q26" s="264"/>
      <c r="R26" s="265"/>
      <c r="S26" s="44"/>
      <c r="T26" s="43"/>
      <c r="AJ26" s="27" t="s">
        <v>178</v>
      </c>
    </row>
    <row r="27" spans="1:36" ht="15" customHeight="1">
      <c r="A27" s="54" t="s">
        <v>62</v>
      </c>
      <c r="B27" s="308" t="s">
        <v>185</v>
      </c>
      <c r="C27" s="308"/>
      <c r="D27" s="308"/>
      <c r="E27" s="308"/>
      <c r="F27" s="308"/>
      <c r="G27" s="55"/>
      <c r="H27" s="55"/>
      <c r="I27" s="55"/>
      <c r="J27" s="116"/>
      <c r="K27" s="55"/>
      <c r="L27" s="55"/>
      <c r="M27" s="116"/>
      <c r="N27" s="55"/>
      <c r="O27" s="55"/>
      <c r="P27" s="116"/>
      <c r="Q27" s="56"/>
      <c r="R27" s="53"/>
      <c r="S27" s="44"/>
      <c r="T27" s="43"/>
      <c r="AJ27" s="27" t="s">
        <v>178</v>
      </c>
    </row>
    <row r="28" spans="1:36" ht="15" customHeight="1">
      <c r="A28" s="54" t="s">
        <v>72</v>
      </c>
      <c r="B28" s="271" t="s">
        <v>186</v>
      </c>
      <c r="C28" s="271"/>
      <c r="D28" s="271"/>
      <c r="E28" s="271"/>
      <c r="F28" s="271"/>
      <c r="G28" s="261"/>
      <c r="H28" s="261"/>
      <c r="I28" s="261"/>
      <c r="J28" s="116"/>
      <c r="K28" s="261"/>
      <c r="L28" s="261"/>
      <c r="M28" s="116"/>
      <c r="N28" s="261"/>
      <c r="O28" s="261"/>
      <c r="P28" s="116"/>
      <c r="Q28" s="266"/>
      <c r="R28" s="267"/>
      <c r="S28" s="44"/>
      <c r="T28" s="43"/>
    </row>
    <row r="29" spans="1:36" ht="15" customHeight="1">
      <c r="A29" s="54" t="s">
        <v>74</v>
      </c>
      <c r="B29" s="308" t="s">
        <v>187</v>
      </c>
      <c r="C29" s="308"/>
      <c r="D29" s="308"/>
      <c r="E29" s="308"/>
      <c r="F29" s="308"/>
      <c r="G29" s="48"/>
      <c r="H29" s="48"/>
      <c r="I29" s="40"/>
      <c r="J29" s="40"/>
      <c r="K29" s="39"/>
      <c r="L29" s="40"/>
      <c r="M29" s="40"/>
      <c r="N29" s="39"/>
      <c r="O29" s="41"/>
      <c r="P29" s="41"/>
      <c r="Q29" s="47"/>
      <c r="R29" s="115"/>
      <c r="S29" s="44"/>
      <c r="T29" s="43"/>
    </row>
    <row r="30" spans="1:36" ht="15" customHeight="1">
      <c r="A30" s="54" t="s">
        <v>85</v>
      </c>
      <c r="B30" s="271" t="s">
        <v>188</v>
      </c>
      <c r="C30" s="271"/>
      <c r="D30" s="271"/>
      <c r="E30" s="271"/>
      <c r="F30" s="271"/>
      <c r="G30" s="48"/>
      <c r="H30" s="48"/>
      <c r="I30" s="40"/>
      <c r="J30" s="40"/>
      <c r="K30" s="39"/>
      <c r="L30" s="40"/>
      <c r="M30" s="40"/>
      <c r="N30" s="39"/>
      <c r="O30" s="41"/>
      <c r="P30" s="41"/>
      <c r="Q30" s="47"/>
      <c r="R30" s="115"/>
      <c r="S30" s="44"/>
      <c r="T30" s="43"/>
    </row>
    <row r="31" spans="1:36" ht="15" customHeight="1">
      <c r="I31" s="27"/>
      <c r="J31" s="27"/>
      <c r="L31" s="27"/>
      <c r="M31" s="27"/>
      <c r="O31" s="27"/>
      <c r="P31" s="27"/>
      <c r="R31" s="27"/>
    </row>
    <row r="32" spans="1:36" ht="18.75">
      <c r="A32" s="59"/>
      <c r="B32" s="252"/>
      <c r="C32" s="252"/>
      <c r="D32" s="252"/>
      <c r="E32" s="30"/>
      <c r="F32" s="30"/>
      <c r="G32" s="30"/>
      <c r="H32" s="30"/>
      <c r="I32" s="31"/>
      <c r="J32" s="31"/>
      <c r="K32" s="30"/>
      <c r="L32" s="31"/>
      <c r="M32" s="31"/>
      <c r="N32" s="30"/>
      <c r="O32" s="31"/>
      <c r="P32" s="31"/>
      <c r="Q32" s="30"/>
      <c r="R32" s="31"/>
      <c r="S32" s="32"/>
      <c r="T32" s="32"/>
      <c r="U32" s="51"/>
    </row>
    <row r="33" spans="1:26">
      <c r="A33" s="57"/>
      <c r="B33" s="241"/>
      <c r="C33" s="241"/>
      <c r="D33" s="241"/>
      <c r="E33" s="111"/>
      <c r="F33" s="111"/>
      <c r="G33" s="234" t="s">
        <v>8</v>
      </c>
      <c r="H33" s="234"/>
      <c r="I33" s="234"/>
      <c r="J33" s="112"/>
      <c r="K33" s="234" t="s">
        <v>9</v>
      </c>
      <c r="L33" s="234"/>
      <c r="M33" s="112"/>
      <c r="N33" s="234" t="s">
        <v>10</v>
      </c>
      <c r="O33" s="234"/>
      <c r="P33" s="112"/>
      <c r="Q33" s="234" t="s">
        <v>11</v>
      </c>
      <c r="R33" s="234"/>
      <c r="S33" s="33" t="s">
        <v>12</v>
      </c>
      <c r="T33" s="34" t="s">
        <v>13</v>
      </c>
    </row>
    <row r="34" spans="1:26">
      <c r="A34" s="57"/>
      <c r="B34" s="111"/>
      <c r="C34" s="111"/>
      <c r="D34" s="111"/>
      <c r="E34" s="111"/>
      <c r="F34" s="111"/>
      <c r="G34" s="112"/>
      <c r="H34" s="112"/>
      <c r="I34" s="112"/>
      <c r="J34" s="112"/>
      <c r="K34" s="112"/>
      <c r="L34" s="112"/>
      <c r="M34" s="112"/>
      <c r="N34" s="112"/>
      <c r="O34" s="112"/>
      <c r="P34" s="112"/>
      <c r="Q34" s="112"/>
      <c r="R34" s="112"/>
      <c r="S34" s="68"/>
      <c r="T34" s="69"/>
    </row>
    <row r="35" spans="1:26" ht="15" customHeight="1">
      <c r="A35" s="58"/>
      <c r="B35" s="306"/>
      <c r="C35" s="306"/>
      <c r="D35" s="306"/>
      <c r="E35" s="306"/>
      <c r="F35" s="306"/>
      <c r="G35" s="35" t="s">
        <v>15</v>
      </c>
      <c r="H35" s="35" t="s">
        <v>170</v>
      </c>
      <c r="I35" s="36" t="s">
        <v>171</v>
      </c>
      <c r="J35" s="36" t="s">
        <v>15</v>
      </c>
      <c r="K35" s="35" t="s">
        <v>170</v>
      </c>
      <c r="L35" s="36" t="s">
        <v>171</v>
      </c>
      <c r="M35" s="36" t="s">
        <v>15</v>
      </c>
      <c r="N35" s="35" t="s">
        <v>170</v>
      </c>
      <c r="O35" s="36" t="s">
        <v>171</v>
      </c>
      <c r="P35" s="36" t="s">
        <v>15</v>
      </c>
      <c r="Q35" s="35" t="s">
        <v>170</v>
      </c>
      <c r="R35" s="36" t="s">
        <v>171</v>
      </c>
      <c r="S35" s="37" t="s">
        <v>172</v>
      </c>
      <c r="T35" s="38" t="s">
        <v>172</v>
      </c>
      <c r="V35" s="24"/>
      <c r="Y35" s="24"/>
      <c r="Z35" s="24"/>
    </row>
    <row r="36" spans="1:26" ht="18.75" customHeight="1">
      <c r="A36" s="67"/>
      <c r="B36" s="303" t="s">
        <v>189</v>
      </c>
      <c r="C36" s="304"/>
      <c r="D36" s="304"/>
      <c r="E36" s="304"/>
      <c r="F36" s="305"/>
      <c r="G36" s="67"/>
      <c r="H36" s="67"/>
      <c r="I36" s="71"/>
      <c r="J36" s="67"/>
      <c r="K36" s="67"/>
      <c r="L36" s="70"/>
      <c r="M36" s="67"/>
      <c r="N36" s="67"/>
      <c r="O36" s="70"/>
      <c r="P36" s="67"/>
      <c r="Q36" s="67"/>
      <c r="R36" s="70"/>
      <c r="S36" s="67"/>
      <c r="T36" s="67"/>
    </row>
    <row r="37" spans="1:26" ht="15.75">
      <c r="A37" s="58"/>
      <c r="B37" s="233" t="s">
        <v>190</v>
      </c>
      <c r="C37" s="233"/>
      <c r="D37" s="233"/>
      <c r="E37" s="233"/>
      <c r="F37" s="233"/>
      <c r="G37" s="35" t="s">
        <v>15</v>
      </c>
      <c r="H37" s="35" t="s">
        <v>170</v>
      </c>
      <c r="I37" s="36" t="s">
        <v>171</v>
      </c>
      <c r="J37" s="36" t="s">
        <v>15</v>
      </c>
      <c r="K37" s="35" t="s">
        <v>170</v>
      </c>
      <c r="L37" s="36"/>
      <c r="M37" s="36" t="s">
        <v>15</v>
      </c>
      <c r="N37" s="35" t="s">
        <v>170</v>
      </c>
      <c r="O37" s="36"/>
      <c r="P37" s="36" t="s">
        <v>15</v>
      </c>
      <c r="Q37" s="35" t="s">
        <v>170</v>
      </c>
      <c r="R37" s="36"/>
      <c r="S37" s="37" t="s">
        <v>172</v>
      </c>
      <c r="T37" s="38" t="s">
        <v>172</v>
      </c>
    </row>
    <row r="38" spans="1:26" ht="15.75">
      <c r="A38" s="67"/>
      <c r="B38" s="230" t="s">
        <v>37</v>
      </c>
      <c r="C38" s="231"/>
      <c r="D38" s="231"/>
      <c r="E38" s="231"/>
      <c r="F38" s="232"/>
      <c r="G38" s="67"/>
      <c r="H38" s="67"/>
      <c r="I38" s="71"/>
      <c r="J38" s="67"/>
      <c r="K38" s="67"/>
      <c r="L38" s="70"/>
      <c r="M38" s="67"/>
      <c r="N38" s="67"/>
      <c r="O38" s="70"/>
      <c r="P38" s="67"/>
      <c r="Q38" s="67"/>
      <c r="R38" s="70"/>
      <c r="S38" s="67"/>
      <c r="T38" s="67"/>
    </row>
    <row r="39" spans="1:26" ht="15.75">
      <c r="A39" s="67"/>
      <c r="B39" s="230" t="s">
        <v>39</v>
      </c>
      <c r="C39" s="231"/>
      <c r="D39" s="231"/>
      <c r="E39" s="231"/>
      <c r="F39" s="232"/>
      <c r="G39" s="67"/>
      <c r="H39" s="67"/>
      <c r="I39" s="71"/>
      <c r="J39" s="67"/>
      <c r="K39" s="67"/>
      <c r="L39" s="70"/>
      <c r="M39" s="67"/>
      <c r="N39" s="67"/>
      <c r="O39" s="70"/>
      <c r="P39" s="67"/>
      <c r="Q39" s="67"/>
      <c r="R39" s="70"/>
      <c r="S39" s="67"/>
      <c r="T39" s="67"/>
    </row>
    <row r="40" spans="1:26" ht="15.75">
      <c r="A40" s="67"/>
      <c r="B40" s="230" t="s">
        <v>41</v>
      </c>
      <c r="C40" s="231"/>
      <c r="D40" s="231"/>
      <c r="E40" s="231"/>
      <c r="F40" s="232"/>
      <c r="G40" s="67"/>
      <c r="H40" s="67"/>
      <c r="I40" s="71"/>
      <c r="J40" s="67"/>
      <c r="K40" s="67"/>
      <c r="L40" s="70"/>
      <c r="M40" s="67"/>
      <c r="N40" s="67"/>
      <c r="O40" s="70"/>
      <c r="P40" s="67"/>
      <c r="Q40" s="67"/>
      <c r="R40" s="70"/>
      <c r="S40" s="67"/>
      <c r="T40" s="67"/>
    </row>
    <row r="41" spans="1:26" ht="15.75">
      <c r="A41" s="67"/>
      <c r="B41" s="230" t="s">
        <v>43</v>
      </c>
      <c r="C41" s="231"/>
      <c r="D41" s="231"/>
      <c r="E41" s="231"/>
      <c r="F41" s="232"/>
      <c r="G41" s="67"/>
      <c r="H41" s="67"/>
      <c r="I41" s="71"/>
      <c r="J41" s="67"/>
      <c r="K41" s="67"/>
      <c r="L41" s="70"/>
      <c r="M41" s="67"/>
      <c r="N41" s="67"/>
      <c r="O41" s="70"/>
      <c r="P41" s="67"/>
      <c r="Q41" s="67"/>
      <c r="R41" s="70"/>
      <c r="S41" s="67"/>
      <c r="T41" s="67"/>
    </row>
    <row r="42" spans="1:26" ht="15.75">
      <c r="A42" s="67"/>
      <c r="B42" s="230" t="s">
        <v>45</v>
      </c>
      <c r="C42" s="231"/>
      <c r="D42" s="231"/>
      <c r="E42" s="231"/>
      <c r="F42" s="232"/>
      <c r="G42" s="67"/>
      <c r="H42" s="67"/>
      <c r="I42" s="71"/>
      <c r="J42" s="67"/>
      <c r="K42" s="67"/>
      <c r="L42" s="70"/>
      <c r="M42" s="67"/>
      <c r="N42" s="67"/>
      <c r="O42" s="70"/>
      <c r="P42" s="67"/>
      <c r="Q42" s="67"/>
      <c r="R42" s="70"/>
      <c r="S42" s="67"/>
      <c r="T42" s="67"/>
    </row>
    <row r="43" spans="1:26" ht="15.75">
      <c r="A43" s="67"/>
      <c r="B43" s="230" t="s">
        <v>47</v>
      </c>
      <c r="C43" s="231"/>
      <c r="D43" s="231"/>
      <c r="E43" s="231"/>
      <c r="F43" s="232"/>
      <c r="G43" s="67"/>
      <c r="H43" s="67"/>
      <c r="I43" s="71"/>
      <c r="J43" s="67"/>
      <c r="K43" s="67"/>
      <c r="L43" s="70"/>
      <c r="M43" s="67"/>
      <c r="N43" s="67"/>
      <c r="O43" s="70"/>
      <c r="P43" s="67"/>
      <c r="Q43" s="67"/>
      <c r="R43" s="70"/>
      <c r="S43" s="67"/>
      <c r="T43" s="67"/>
    </row>
    <row r="44" spans="1:26" ht="15.75">
      <c r="A44" s="67"/>
      <c r="B44" s="230" t="s">
        <v>49</v>
      </c>
      <c r="C44" s="231"/>
      <c r="D44" s="231"/>
      <c r="E44" s="231"/>
      <c r="F44" s="232"/>
      <c r="G44" s="67"/>
      <c r="H44" s="67"/>
      <c r="I44" s="71"/>
      <c r="J44" s="67"/>
      <c r="K44" s="67"/>
      <c r="L44" s="70"/>
      <c r="M44" s="67"/>
      <c r="N44" s="67"/>
      <c r="O44" s="70"/>
      <c r="P44" s="67"/>
      <c r="Q44" s="67"/>
      <c r="R44" s="70"/>
      <c r="S44" s="67"/>
      <c r="T44" s="67"/>
    </row>
    <row r="45" spans="1:26" ht="15.75">
      <c r="A45" s="67"/>
      <c r="B45" s="230" t="s">
        <v>51</v>
      </c>
      <c r="C45" s="231"/>
      <c r="D45" s="231"/>
      <c r="E45" s="231"/>
      <c r="F45" s="232"/>
      <c r="G45" s="67"/>
      <c r="H45" s="67"/>
      <c r="I45" s="71"/>
      <c r="J45" s="67"/>
      <c r="K45" s="67"/>
      <c r="L45" s="70"/>
      <c r="M45" s="67"/>
      <c r="N45" s="67"/>
      <c r="O45" s="70"/>
      <c r="P45" s="67"/>
      <c r="Q45" s="67"/>
      <c r="R45" s="70"/>
      <c r="S45" s="67"/>
      <c r="T45" s="67"/>
    </row>
    <row r="46" spans="1:26" ht="15.75">
      <c r="A46" s="67"/>
      <c r="B46" s="230" t="s">
        <v>53</v>
      </c>
      <c r="C46" s="231"/>
      <c r="D46" s="231"/>
      <c r="E46" s="231"/>
      <c r="F46" s="232"/>
      <c r="G46" s="67"/>
      <c r="H46" s="67"/>
      <c r="I46" s="71"/>
      <c r="J46" s="67"/>
      <c r="K46" s="67"/>
      <c r="L46" s="70"/>
      <c r="M46" s="67"/>
      <c r="N46" s="67"/>
      <c r="O46" s="70"/>
      <c r="P46" s="67"/>
      <c r="Q46" s="67"/>
      <c r="R46" s="70"/>
      <c r="S46" s="67"/>
      <c r="T46" s="67"/>
    </row>
    <row r="47" spans="1:26" ht="15.75">
      <c r="A47" s="58"/>
      <c r="B47" s="233" t="s">
        <v>191</v>
      </c>
      <c r="C47" s="233"/>
      <c r="D47" s="233"/>
      <c r="E47" s="233"/>
      <c r="F47" s="233"/>
      <c r="G47" s="35" t="s">
        <v>15</v>
      </c>
      <c r="H47" s="35" t="s">
        <v>170</v>
      </c>
      <c r="I47" s="36" t="s">
        <v>171</v>
      </c>
      <c r="J47" s="36" t="s">
        <v>15</v>
      </c>
      <c r="K47" s="35" t="s">
        <v>170</v>
      </c>
      <c r="L47" s="36" t="s">
        <v>171</v>
      </c>
      <c r="M47" s="36" t="s">
        <v>15</v>
      </c>
      <c r="N47" s="35" t="s">
        <v>170</v>
      </c>
      <c r="O47" s="36"/>
      <c r="P47" s="36" t="s">
        <v>15</v>
      </c>
      <c r="Q47" s="35" t="s">
        <v>170</v>
      </c>
      <c r="R47" s="36"/>
      <c r="S47" s="37" t="s">
        <v>172</v>
      </c>
      <c r="T47" s="38" t="s">
        <v>172</v>
      </c>
    </row>
    <row r="48" spans="1:26" ht="15.75">
      <c r="A48" s="67"/>
      <c r="B48" s="230" t="s">
        <v>37</v>
      </c>
      <c r="C48" s="231"/>
      <c r="D48" s="231"/>
      <c r="E48" s="231"/>
      <c r="F48" s="232"/>
      <c r="G48" s="67"/>
      <c r="H48" s="67"/>
      <c r="I48" s="71"/>
      <c r="J48" s="67"/>
      <c r="K48" s="67"/>
      <c r="L48" s="70"/>
      <c r="M48" s="67"/>
      <c r="N48" s="67"/>
      <c r="O48" s="70"/>
      <c r="P48" s="67"/>
      <c r="Q48" s="67"/>
      <c r="R48" s="70"/>
      <c r="S48" s="67"/>
      <c r="T48" s="67"/>
    </row>
    <row r="49" spans="1:20" ht="15.75">
      <c r="A49" s="67"/>
      <c r="B49" s="230" t="s">
        <v>39</v>
      </c>
      <c r="C49" s="231"/>
      <c r="D49" s="231"/>
      <c r="E49" s="231"/>
      <c r="F49" s="232"/>
      <c r="G49" s="67"/>
      <c r="H49" s="67"/>
      <c r="I49" s="71"/>
      <c r="J49" s="67"/>
      <c r="K49" s="67"/>
      <c r="L49" s="70"/>
      <c r="M49" s="67"/>
      <c r="N49" s="67"/>
      <c r="O49" s="70"/>
      <c r="P49" s="67"/>
      <c r="Q49" s="67"/>
      <c r="R49" s="70"/>
      <c r="S49" s="67"/>
      <c r="T49" s="67"/>
    </row>
    <row r="50" spans="1:20" ht="15.75">
      <c r="A50" s="67"/>
      <c r="B50" s="230" t="s">
        <v>41</v>
      </c>
      <c r="C50" s="231"/>
      <c r="D50" s="231"/>
      <c r="E50" s="231"/>
      <c r="F50" s="232"/>
      <c r="G50" s="67"/>
      <c r="H50" s="67"/>
      <c r="I50" s="71"/>
      <c r="J50" s="67"/>
      <c r="K50" s="67"/>
      <c r="L50" s="70"/>
      <c r="M50" s="67"/>
      <c r="N50" s="67"/>
      <c r="O50" s="70"/>
      <c r="P50" s="67"/>
      <c r="Q50" s="67"/>
      <c r="R50" s="70"/>
      <c r="S50" s="67"/>
      <c r="T50" s="67"/>
    </row>
    <row r="51" spans="1:20" ht="15.75">
      <c r="A51" s="67"/>
      <c r="B51" s="230" t="s">
        <v>43</v>
      </c>
      <c r="C51" s="231"/>
      <c r="D51" s="231"/>
      <c r="E51" s="231"/>
      <c r="F51" s="232"/>
      <c r="G51" s="67"/>
      <c r="H51" s="67"/>
      <c r="I51" s="71"/>
      <c r="J51" s="67"/>
      <c r="K51" s="67"/>
      <c r="L51" s="70"/>
      <c r="M51" s="67"/>
      <c r="N51" s="67"/>
      <c r="O51" s="70"/>
      <c r="P51" s="67"/>
      <c r="Q51" s="67"/>
      <c r="R51" s="70"/>
      <c r="S51" s="67"/>
      <c r="T51" s="67"/>
    </row>
    <row r="52" spans="1:20" ht="15.75">
      <c r="A52" s="67"/>
      <c r="B52" s="230" t="s">
        <v>45</v>
      </c>
      <c r="C52" s="231"/>
      <c r="D52" s="231"/>
      <c r="E52" s="231"/>
      <c r="F52" s="232"/>
      <c r="G52" s="67"/>
      <c r="H52" s="67"/>
      <c r="I52" s="71"/>
      <c r="J52" s="67"/>
      <c r="K52" s="67"/>
      <c r="L52" s="70"/>
      <c r="M52" s="67"/>
      <c r="N52" s="67"/>
      <c r="O52" s="70"/>
      <c r="P52" s="67"/>
      <c r="Q52" s="67"/>
      <c r="R52" s="70"/>
      <c r="S52" s="67"/>
      <c r="T52" s="67"/>
    </row>
    <row r="53" spans="1:20" ht="15.75">
      <c r="A53" s="67"/>
      <c r="B53" s="230" t="s">
        <v>47</v>
      </c>
      <c r="C53" s="231"/>
      <c r="D53" s="231"/>
      <c r="E53" s="231"/>
      <c r="F53" s="232"/>
      <c r="G53" s="67"/>
      <c r="H53" s="67"/>
      <c r="I53" s="71"/>
      <c r="J53" s="67"/>
      <c r="K53" s="67"/>
      <c r="L53" s="70"/>
      <c r="M53" s="67"/>
      <c r="N53" s="67"/>
      <c r="O53" s="70"/>
      <c r="P53" s="67"/>
      <c r="Q53" s="67"/>
      <c r="R53" s="70"/>
      <c r="S53" s="67"/>
      <c r="T53" s="67"/>
    </row>
    <row r="54" spans="1:20" ht="15.75">
      <c r="A54" s="67"/>
      <c r="B54" s="230" t="s">
        <v>49</v>
      </c>
      <c r="C54" s="231"/>
      <c r="D54" s="231"/>
      <c r="E54" s="231"/>
      <c r="F54" s="232"/>
      <c r="G54" s="67"/>
      <c r="H54" s="67"/>
      <c r="I54" s="71"/>
      <c r="J54" s="67"/>
      <c r="K54" s="67"/>
      <c r="L54" s="70"/>
      <c r="M54" s="67"/>
      <c r="N54" s="67"/>
      <c r="O54" s="70"/>
      <c r="P54" s="67"/>
      <c r="Q54" s="67"/>
      <c r="R54" s="70"/>
      <c r="S54" s="67"/>
      <c r="T54" s="67"/>
    </row>
    <row r="55" spans="1:20" ht="15.75">
      <c r="A55" s="67"/>
      <c r="B55" s="230" t="s">
        <v>51</v>
      </c>
      <c r="C55" s="231"/>
      <c r="D55" s="231"/>
      <c r="E55" s="231"/>
      <c r="F55" s="232"/>
      <c r="G55" s="67"/>
      <c r="H55" s="67"/>
      <c r="I55" s="71"/>
      <c r="J55" s="67"/>
      <c r="K55" s="67"/>
      <c r="L55" s="70"/>
      <c r="M55" s="67"/>
      <c r="N55" s="67"/>
      <c r="O55" s="70"/>
      <c r="P55" s="67"/>
      <c r="Q55" s="67"/>
      <c r="R55" s="70"/>
      <c r="S55" s="67"/>
      <c r="T55" s="67"/>
    </row>
    <row r="56" spans="1:20" ht="15.75">
      <c r="A56" s="67"/>
      <c r="B56" s="230" t="s">
        <v>53</v>
      </c>
      <c r="C56" s="231"/>
      <c r="D56" s="231"/>
      <c r="E56" s="231"/>
      <c r="F56" s="232"/>
      <c r="G56" s="67"/>
      <c r="H56" s="67"/>
      <c r="I56" s="71"/>
      <c r="J56" s="67"/>
      <c r="K56" s="67"/>
      <c r="L56" s="70"/>
      <c r="M56" s="67"/>
      <c r="N56" s="67"/>
      <c r="O56" s="70"/>
      <c r="P56" s="67"/>
      <c r="Q56" s="67"/>
      <c r="R56" s="70"/>
      <c r="S56" s="67"/>
      <c r="T56" s="67"/>
    </row>
    <row r="57" spans="1:20" ht="15.75">
      <c r="A57" s="58"/>
      <c r="B57" s="233" t="s">
        <v>192</v>
      </c>
      <c r="C57" s="233"/>
      <c r="D57" s="233"/>
      <c r="E57" s="233"/>
      <c r="F57" s="233"/>
      <c r="G57" s="35" t="s">
        <v>15</v>
      </c>
      <c r="H57" s="35" t="s">
        <v>170</v>
      </c>
      <c r="I57" s="36" t="s">
        <v>171</v>
      </c>
      <c r="J57" s="36" t="s">
        <v>15</v>
      </c>
      <c r="K57" s="35" t="s">
        <v>170</v>
      </c>
      <c r="L57" s="36"/>
      <c r="M57" s="36" t="s">
        <v>15</v>
      </c>
      <c r="N57" s="35" t="s">
        <v>170</v>
      </c>
      <c r="O57" s="36"/>
      <c r="P57" s="36" t="s">
        <v>15</v>
      </c>
      <c r="Q57" s="35" t="s">
        <v>170</v>
      </c>
      <c r="R57" s="36"/>
      <c r="S57" s="37" t="s">
        <v>172</v>
      </c>
      <c r="T57" s="38" t="s">
        <v>172</v>
      </c>
    </row>
    <row r="58" spans="1:20" ht="15.75">
      <c r="A58" s="67"/>
      <c r="B58" s="230" t="s">
        <v>37</v>
      </c>
      <c r="C58" s="231"/>
      <c r="D58" s="231"/>
      <c r="E58" s="231"/>
      <c r="F58" s="232"/>
      <c r="G58" s="67"/>
      <c r="H58" s="67"/>
      <c r="I58" s="71"/>
      <c r="J58" s="67"/>
      <c r="K58" s="67"/>
      <c r="L58" s="71"/>
      <c r="M58" s="67"/>
      <c r="N58" s="67"/>
      <c r="O58" s="70"/>
      <c r="P58" s="67"/>
      <c r="Q58" s="67"/>
      <c r="R58" s="70"/>
      <c r="S58" s="67"/>
      <c r="T58" s="67"/>
    </row>
    <row r="59" spans="1:20" ht="15.75">
      <c r="A59" s="67"/>
      <c r="B59" s="230" t="s">
        <v>39</v>
      </c>
      <c r="C59" s="231"/>
      <c r="D59" s="231"/>
      <c r="E59" s="231"/>
      <c r="F59" s="232"/>
      <c r="G59" s="67"/>
      <c r="H59" s="67"/>
      <c r="I59" s="71"/>
      <c r="J59" s="67"/>
      <c r="K59" s="67"/>
      <c r="L59" s="71"/>
      <c r="M59" s="67"/>
      <c r="N59" s="67"/>
      <c r="O59" s="70"/>
      <c r="P59" s="67"/>
      <c r="Q59" s="67"/>
      <c r="R59" s="70"/>
      <c r="S59" s="67"/>
      <c r="T59" s="67"/>
    </row>
    <row r="60" spans="1:20" ht="15.75">
      <c r="A60" s="67"/>
      <c r="B60" s="230" t="s">
        <v>41</v>
      </c>
      <c r="C60" s="231"/>
      <c r="D60" s="231"/>
      <c r="E60" s="231"/>
      <c r="F60" s="232"/>
      <c r="G60" s="67"/>
      <c r="H60" s="67"/>
      <c r="I60" s="71"/>
      <c r="J60" s="67"/>
      <c r="K60" s="67"/>
      <c r="L60" s="71"/>
      <c r="M60" s="67"/>
      <c r="N60" s="67"/>
      <c r="O60" s="70"/>
      <c r="P60" s="67"/>
      <c r="Q60" s="67"/>
      <c r="R60" s="70"/>
      <c r="S60" s="67"/>
      <c r="T60" s="67"/>
    </row>
    <row r="61" spans="1:20" ht="15.75">
      <c r="A61" s="67"/>
      <c r="B61" s="230" t="s">
        <v>43</v>
      </c>
      <c r="C61" s="231"/>
      <c r="D61" s="231"/>
      <c r="E61" s="231"/>
      <c r="F61" s="232"/>
      <c r="G61" s="67"/>
      <c r="H61" s="67"/>
      <c r="I61" s="71"/>
      <c r="J61" s="67"/>
      <c r="K61" s="67"/>
      <c r="L61" s="71"/>
      <c r="M61" s="67"/>
      <c r="N61" s="67"/>
      <c r="O61" s="70"/>
      <c r="P61" s="67"/>
      <c r="Q61" s="67"/>
      <c r="R61" s="70"/>
      <c r="S61" s="67"/>
      <c r="T61" s="67"/>
    </row>
    <row r="62" spans="1:20" ht="15.75">
      <c r="A62" s="67"/>
      <c r="B62" s="230" t="s">
        <v>45</v>
      </c>
      <c r="C62" s="231"/>
      <c r="D62" s="231"/>
      <c r="E62" s="231"/>
      <c r="F62" s="232"/>
      <c r="G62" s="67"/>
      <c r="H62" s="67"/>
      <c r="I62" s="71"/>
      <c r="J62" s="67"/>
      <c r="K62" s="67"/>
      <c r="L62" s="71"/>
      <c r="M62" s="67"/>
      <c r="N62" s="67"/>
      <c r="O62" s="70"/>
      <c r="P62" s="67"/>
      <c r="Q62" s="67"/>
      <c r="R62" s="70"/>
      <c r="S62" s="67"/>
      <c r="T62" s="67"/>
    </row>
    <row r="63" spans="1:20" ht="15.75">
      <c r="A63" s="67"/>
      <c r="B63" s="230" t="s">
        <v>47</v>
      </c>
      <c r="C63" s="231"/>
      <c r="D63" s="231"/>
      <c r="E63" s="231"/>
      <c r="F63" s="232"/>
      <c r="G63" s="67"/>
      <c r="H63" s="67"/>
      <c r="I63" s="71"/>
      <c r="J63" s="67"/>
      <c r="K63" s="67"/>
      <c r="L63" s="71"/>
      <c r="M63" s="67"/>
      <c r="N63" s="67"/>
      <c r="O63" s="70"/>
      <c r="P63" s="67"/>
      <c r="Q63" s="67"/>
      <c r="R63" s="70"/>
      <c r="S63" s="67"/>
      <c r="T63" s="67"/>
    </row>
    <row r="64" spans="1:20" ht="15.75">
      <c r="A64" s="67"/>
      <c r="B64" s="230" t="s">
        <v>49</v>
      </c>
      <c r="C64" s="231"/>
      <c r="D64" s="231"/>
      <c r="E64" s="231"/>
      <c r="F64" s="232"/>
      <c r="G64" s="67"/>
      <c r="H64" s="67"/>
      <c r="I64" s="71"/>
      <c r="J64" s="67"/>
      <c r="K64" s="67"/>
      <c r="L64" s="71"/>
      <c r="M64" s="67"/>
      <c r="N64" s="67"/>
      <c r="O64" s="70"/>
      <c r="P64" s="67"/>
      <c r="Q64" s="67"/>
      <c r="R64" s="70"/>
      <c r="S64" s="67"/>
      <c r="T64" s="67"/>
    </row>
    <row r="65" spans="1:20" ht="15.75">
      <c r="A65" s="67"/>
      <c r="B65" s="230" t="s">
        <v>51</v>
      </c>
      <c r="C65" s="231"/>
      <c r="D65" s="231"/>
      <c r="E65" s="231"/>
      <c r="F65" s="232"/>
      <c r="G65" s="67"/>
      <c r="H65" s="67"/>
      <c r="I65" s="71"/>
      <c r="J65" s="67"/>
      <c r="K65" s="67"/>
      <c r="L65" s="71"/>
      <c r="M65" s="67"/>
      <c r="N65" s="67"/>
      <c r="O65" s="70"/>
      <c r="P65" s="67"/>
      <c r="Q65" s="67"/>
      <c r="R65" s="70"/>
      <c r="S65" s="67"/>
      <c r="T65" s="67"/>
    </row>
    <row r="66" spans="1:20" ht="15.75">
      <c r="A66" s="67"/>
      <c r="B66" s="230" t="s">
        <v>53</v>
      </c>
      <c r="C66" s="231"/>
      <c r="D66" s="231"/>
      <c r="E66" s="231"/>
      <c r="F66" s="232"/>
      <c r="G66" s="67"/>
      <c r="H66" s="67"/>
      <c r="I66" s="71"/>
      <c r="J66" s="67"/>
      <c r="K66" s="67"/>
      <c r="L66" s="71"/>
      <c r="M66" s="67"/>
      <c r="N66" s="67"/>
      <c r="O66" s="70"/>
      <c r="P66" s="67"/>
      <c r="Q66" s="67"/>
      <c r="R66" s="70"/>
      <c r="S66" s="67"/>
      <c r="T66" s="67"/>
    </row>
    <row r="68" spans="1:20" ht="15.75">
      <c r="A68" s="97"/>
      <c r="B68" s="296" t="s">
        <v>86</v>
      </c>
      <c r="C68" s="296"/>
      <c r="D68" s="296"/>
      <c r="E68" s="296"/>
      <c r="F68" s="296"/>
      <c r="G68" s="98" t="s">
        <v>15</v>
      </c>
      <c r="H68" s="98" t="s">
        <v>170</v>
      </c>
      <c r="I68" s="99" t="s">
        <v>171</v>
      </c>
      <c r="J68" s="99" t="s">
        <v>15</v>
      </c>
      <c r="K68" s="98" t="s">
        <v>170</v>
      </c>
      <c r="L68" s="99"/>
      <c r="M68" s="99" t="s">
        <v>15</v>
      </c>
      <c r="N68" s="98" t="s">
        <v>170</v>
      </c>
      <c r="O68" s="99"/>
      <c r="P68" s="99" t="s">
        <v>15</v>
      </c>
      <c r="Q68" s="98" t="s">
        <v>170</v>
      </c>
      <c r="R68" s="99"/>
      <c r="S68" s="100" t="s">
        <v>172</v>
      </c>
      <c r="T68" s="101" t="s">
        <v>172</v>
      </c>
    </row>
    <row r="69" spans="1:20" ht="15.75" customHeight="1">
      <c r="A69" s="102"/>
      <c r="B69" s="290" t="s">
        <v>87</v>
      </c>
      <c r="C69" s="291"/>
      <c r="D69" s="291"/>
      <c r="E69" s="291"/>
      <c r="F69" s="292"/>
      <c r="G69" s="67"/>
      <c r="H69" s="67"/>
      <c r="I69" s="71"/>
      <c r="J69" s="67"/>
      <c r="K69" s="67"/>
      <c r="L69" s="71"/>
      <c r="M69" s="67"/>
      <c r="N69" s="67"/>
      <c r="O69" s="70"/>
      <c r="P69" s="67"/>
      <c r="Q69" s="67"/>
      <c r="R69" s="70"/>
      <c r="S69" s="67"/>
      <c r="T69" s="103"/>
    </row>
    <row r="70" spans="1:20" ht="15.75" customHeight="1">
      <c r="A70" s="102"/>
      <c r="B70" s="297" t="s">
        <v>88</v>
      </c>
      <c r="C70" s="298"/>
      <c r="D70" s="298"/>
      <c r="E70" s="298"/>
      <c r="F70" s="299"/>
      <c r="G70" s="67"/>
      <c r="H70" s="67"/>
      <c r="I70" s="71"/>
      <c r="J70" s="67"/>
      <c r="K70" s="67"/>
      <c r="L70" s="71"/>
      <c r="M70" s="67"/>
      <c r="N70" s="67"/>
      <c r="O70" s="70"/>
      <c r="P70" s="67"/>
      <c r="Q70" s="67"/>
      <c r="R70" s="70"/>
      <c r="S70" s="67"/>
      <c r="T70" s="103"/>
    </row>
    <row r="71" spans="1:20" ht="15.75" customHeight="1">
      <c r="A71" s="102"/>
      <c r="B71" s="300" t="s">
        <v>89</v>
      </c>
      <c r="C71" s="301"/>
      <c r="D71" s="301"/>
      <c r="E71" s="301"/>
      <c r="F71" s="302"/>
      <c r="G71" s="67"/>
      <c r="H71" s="67"/>
      <c r="I71" s="71"/>
      <c r="J71" s="67"/>
      <c r="K71" s="67"/>
      <c r="L71" s="71"/>
      <c r="M71" s="67"/>
      <c r="N71" s="67"/>
      <c r="O71" s="70"/>
      <c r="P71" s="67"/>
      <c r="Q71" s="67"/>
      <c r="R71" s="70"/>
      <c r="S71" s="67"/>
      <c r="T71" s="103"/>
    </row>
    <row r="72" spans="1:20" ht="15.75" customHeight="1">
      <c r="A72" s="102"/>
      <c r="B72" s="287" t="s">
        <v>90</v>
      </c>
      <c r="C72" s="288"/>
      <c r="D72" s="288"/>
      <c r="E72" s="288"/>
      <c r="F72" s="289"/>
      <c r="G72" s="67"/>
      <c r="H72" s="67"/>
      <c r="I72" s="71"/>
      <c r="J72" s="67"/>
      <c r="K72" s="67"/>
      <c r="L72" s="71"/>
      <c r="M72" s="67"/>
      <c r="N72" s="67"/>
      <c r="O72" s="70"/>
      <c r="P72" s="67"/>
      <c r="Q72" s="67"/>
      <c r="R72" s="70"/>
      <c r="S72" s="67"/>
      <c r="T72" s="103"/>
    </row>
    <row r="73" spans="1:20" ht="15.75" customHeight="1">
      <c r="A73" s="102"/>
      <c r="B73" s="290" t="s">
        <v>91</v>
      </c>
      <c r="C73" s="291"/>
      <c r="D73" s="291"/>
      <c r="E73" s="291"/>
      <c r="F73" s="292"/>
      <c r="G73" s="67"/>
      <c r="H73" s="67"/>
      <c r="I73" s="71"/>
      <c r="J73" s="67"/>
      <c r="K73" s="67"/>
      <c r="L73" s="71"/>
      <c r="M73" s="67"/>
      <c r="N73" s="67"/>
      <c r="O73" s="70"/>
      <c r="P73" s="67"/>
      <c r="Q73" s="67"/>
      <c r="R73" s="70"/>
      <c r="S73" s="67"/>
      <c r="T73" s="103"/>
    </row>
    <row r="74" spans="1:20" ht="15.75" customHeight="1">
      <c r="A74" s="102"/>
      <c r="B74" s="280" t="s">
        <v>92</v>
      </c>
      <c r="C74" s="281"/>
      <c r="D74" s="281"/>
      <c r="E74" s="281"/>
      <c r="F74" s="282"/>
      <c r="G74" s="67"/>
      <c r="H74" s="67"/>
      <c r="I74" s="71"/>
      <c r="J74" s="67"/>
      <c r="K74" s="67"/>
      <c r="L74" s="71"/>
      <c r="M74" s="67"/>
      <c r="N74" s="67"/>
      <c r="O74" s="70"/>
      <c r="P74" s="67"/>
      <c r="Q74" s="67"/>
      <c r="R74" s="70"/>
      <c r="S74" s="67"/>
      <c r="T74" s="103"/>
    </row>
    <row r="75" spans="1:20" ht="15.75" customHeight="1">
      <c r="A75" s="102"/>
      <c r="B75" s="280" t="s">
        <v>193</v>
      </c>
      <c r="C75" s="281"/>
      <c r="D75" s="281"/>
      <c r="E75" s="281"/>
      <c r="F75" s="282"/>
      <c r="G75" s="67"/>
      <c r="H75" s="67"/>
      <c r="I75" s="71"/>
      <c r="J75" s="67"/>
      <c r="K75" s="67"/>
      <c r="L75" s="71"/>
      <c r="M75" s="67"/>
      <c r="N75" s="67"/>
      <c r="O75" s="70"/>
      <c r="P75" s="67"/>
      <c r="Q75" s="67"/>
      <c r="R75" s="70"/>
      <c r="S75" s="67"/>
      <c r="T75" s="103"/>
    </row>
    <row r="76" spans="1:20" ht="15.75" customHeight="1">
      <c r="A76" s="102"/>
      <c r="B76" s="280" t="s">
        <v>93</v>
      </c>
      <c r="C76" s="281"/>
      <c r="D76" s="281"/>
      <c r="E76" s="281"/>
      <c r="F76" s="282"/>
      <c r="G76" s="67"/>
      <c r="H76" s="67"/>
      <c r="I76" s="71"/>
      <c r="J76" s="67"/>
      <c r="K76" s="67"/>
      <c r="L76" s="71"/>
      <c r="M76" s="67"/>
      <c r="N76" s="67"/>
      <c r="O76" s="70"/>
      <c r="P76" s="67"/>
      <c r="Q76" s="67"/>
      <c r="R76" s="70"/>
      <c r="S76" s="67"/>
      <c r="T76" s="103"/>
    </row>
    <row r="77" spans="1:20" ht="15.75" customHeight="1">
      <c r="A77" s="102"/>
      <c r="B77" s="280" t="s">
        <v>94</v>
      </c>
      <c r="C77" s="281"/>
      <c r="D77" s="281"/>
      <c r="E77" s="281"/>
      <c r="F77" s="282"/>
      <c r="G77" s="67"/>
      <c r="H77" s="67"/>
      <c r="I77" s="71"/>
      <c r="J77" s="67"/>
      <c r="K77" s="67"/>
      <c r="L77" s="71"/>
      <c r="M77" s="67"/>
      <c r="N77" s="67"/>
      <c r="O77" s="70"/>
      <c r="P77" s="67"/>
      <c r="Q77" s="67"/>
      <c r="R77" s="70"/>
      <c r="S77" s="67"/>
      <c r="T77" s="103"/>
    </row>
    <row r="78" spans="1:20" ht="15" customHeight="1">
      <c r="A78" s="104"/>
      <c r="B78" s="283" t="s">
        <v>96</v>
      </c>
      <c r="C78" s="281"/>
      <c r="D78" s="281"/>
      <c r="E78" s="281"/>
      <c r="F78" s="282"/>
      <c r="G78" s="67"/>
      <c r="H78" s="67"/>
      <c r="I78" s="71"/>
      <c r="J78" s="67"/>
      <c r="K78" s="67"/>
      <c r="L78" s="71"/>
      <c r="M78" s="67"/>
      <c r="N78" s="67"/>
      <c r="O78" s="70"/>
      <c r="P78" s="67"/>
      <c r="Q78" s="67"/>
      <c r="R78" s="70"/>
      <c r="S78" s="67"/>
      <c r="T78" s="103"/>
    </row>
    <row r="79" spans="1:20" ht="15" customHeight="1">
      <c r="A79" s="105"/>
      <c r="B79" s="284" t="s">
        <v>97</v>
      </c>
      <c r="C79" s="285"/>
      <c r="D79" s="285"/>
      <c r="E79" s="285"/>
      <c r="F79" s="286"/>
      <c r="G79" s="106"/>
      <c r="H79" s="106"/>
      <c r="I79" s="107"/>
      <c r="J79" s="106"/>
      <c r="K79" s="106"/>
      <c r="L79" s="107"/>
      <c r="M79" s="106"/>
      <c r="N79" s="106"/>
      <c r="O79" s="108"/>
      <c r="P79" s="106"/>
      <c r="Q79" s="106"/>
      <c r="R79" s="108"/>
      <c r="S79" s="106"/>
      <c r="T79" s="109"/>
    </row>
  </sheetData>
  <mergeCells count="105">
    <mergeCell ref="B77:F77"/>
    <mergeCell ref="B78:F78"/>
    <mergeCell ref="B79:F79"/>
    <mergeCell ref="B72:F72"/>
    <mergeCell ref="B73:F73"/>
    <mergeCell ref="B74:F74"/>
    <mergeCell ref="B75:F75"/>
    <mergeCell ref="B76:F76"/>
    <mergeCell ref="B21:F21"/>
    <mergeCell ref="B68:F68"/>
    <mergeCell ref="B69:F69"/>
    <mergeCell ref="B70:F70"/>
    <mergeCell ref="B71:F71"/>
    <mergeCell ref="B36:F36"/>
    <mergeCell ref="B35:F35"/>
    <mergeCell ref="B22:F22"/>
    <mergeCell ref="B23:F23"/>
    <mergeCell ref="B29:F29"/>
    <mergeCell ref="B30:F30"/>
    <mergeCell ref="B26:F26"/>
    <mergeCell ref="B27:F27"/>
    <mergeCell ref="B32:D32"/>
    <mergeCell ref="B33:D33"/>
    <mergeCell ref="B28:F28"/>
    <mergeCell ref="Q18:R18"/>
    <mergeCell ref="B15:F15"/>
    <mergeCell ref="B19:D19"/>
    <mergeCell ref="B20:F20"/>
    <mergeCell ref="B24:F24"/>
    <mergeCell ref="B25:F25"/>
    <mergeCell ref="B17:D17"/>
    <mergeCell ref="B10:D10"/>
    <mergeCell ref="B12:F12"/>
    <mergeCell ref="B13:F13"/>
    <mergeCell ref="B14:F14"/>
    <mergeCell ref="P12:R12"/>
    <mergeCell ref="G14:I14"/>
    <mergeCell ref="J14:L14"/>
    <mergeCell ref="M14:O14"/>
    <mergeCell ref="P14:R14"/>
    <mergeCell ref="G12:I12"/>
    <mergeCell ref="J12:L12"/>
    <mergeCell ref="M12:O12"/>
    <mergeCell ref="Q33:R33"/>
    <mergeCell ref="K33:L33"/>
    <mergeCell ref="K28:L28"/>
    <mergeCell ref="N28:O28"/>
    <mergeCell ref="P25:R25"/>
    <mergeCell ref="G20:I20"/>
    <mergeCell ref="M26:O26"/>
    <mergeCell ref="P26:R26"/>
    <mergeCell ref="Q28:R28"/>
    <mergeCell ref="G33:I33"/>
    <mergeCell ref="G28:I28"/>
    <mergeCell ref="G25:I25"/>
    <mergeCell ref="J25:L25"/>
    <mergeCell ref="M25:O25"/>
    <mergeCell ref="B1:D1"/>
    <mergeCell ref="B5:T5"/>
    <mergeCell ref="B6:T7"/>
    <mergeCell ref="B9:D9"/>
    <mergeCell ref="G10:I10"/>
    <mergeCell ref="K10:L10"/>
    <mergeCell ref="N10:O10"/>
    <mergeCell ref="Q10:R10"/>
    <mergeCell ref="B11:D11"/>
    <mergeCell ref="R2:T2"/>
    <mergeCell ref="R3:T3"/>
    <mergeCell ref="B37:F37"/>
    <mergeCell ref="B38:F38"/>
    <mergeCell ref="B39:F39"/>
    <mergeCell ref="B40:F40"/>
    <mergeCell ref="B41:F41"/>
    <mergeCell ref="B42:F42"/>
    <mergeCell ref="N33:O33"/>
    <mergeCell ref="N18:O18"/>
    <mergeCell ref="G26:I26"/>
    <mergeCell ref="J26:L26"/>
    <mergeCell ref="B18:D18"/>
    <mergeCell ref="G18:I18"/>
    <mergeCell ref="K18:L18"/>
    <mergeCell ref="B43:F43"/>
    <mergeCell ref="B44:F44"/>
    <mergeCell ref="B45:F45"/>
    <mergeCell ref="B46:F46"/>
    <mergeCell ref="B47:F47"/>
    <mergeCell ref="B48:F48"/>
    <mergeCell ref="B49:F49"/>
    <mergeCell ref="B50:F50"/>
    <mergeCell ref="B51:F51"/>
    <mergeCell ref="B52:F52"/>
    <mergeCell ref="B53:F53"/>
    <mergeCell ref="B54:F54"/>
    <mergeCell ref="B64:F64"/>
    <mergeCell ref="B65:F65"/>
    <mergeCell ref="B66:F66"/>
    <mergeCell ref="B55:F55"/>
    <mergeCell ref="B56:F56"/>
    <mergeCell ref="B57:F57"/>
    <mergeCell ref="B58:F58"/>
    <mergeCell ref="B59:F59"/>
    <mergeCell ref="B60:F60"/>
    <mergeCell ref="B61:F61"/>
    <mergeCell ref="B62:F62"/>
    <mergeCell ref="B63:F63"/>
  </mergeCells>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119"/>
  <sheetViews>
    <sheetView tabSelected="1" topLeftCell="B19" workbookViewId="0">
      <selection activeCell="I32" sqref="I32"/>
    </sheetView>
  </sheetViews>
  <sheetFormatPr defaultColWidth="12.42578125" defaultRowHeight="15"/>
  <cols>
    <col min="1" max="1" width="10.5703125" style="1" customWidth="1"/>
    <col min="2" max="2" width="86.85546875" style="1" customWidth="1"/>
    <col min="3" max="8" width="17.85546875" style="16" customWidth="1"/>
    <col min="9" max="9" width="32.42578125" style="1" customWidth="1"/>
    <col min="10" max="16384" width="12.42578125" style="1"/>
  </cols>
  <sheetData>
    <row r="1" spans="1:9" ht="26.25" customHeight="1">
      <c r="A1" s="310" t="s">
        <v>199</v>
      </c>
      <c r="B1" s="310"/>
      <c r="C1" s="15" t="s">
        <v>2</v>
      </c>
      <c r="D1" s="15" t="s">
        <v>2</v>
      </c>
      <c r="E1" s="72" t="s">
        <v>2</v>
      </c>
      <c r="F1" s="13" t="s">
        <v>2</v>
      </c>
      <c r="G1" s="13" t="s">
        <v>2</v>
      </c>
      <c r="H1" s="14" t="s">
        <v>2</v>
      </c>
      <c r="I1" s="9" t="s">
        <v>2</v>
      </c>
    </row>
    <row r="2" spans="1:9" ht="23.25">
      <c r="A2" s="311" t="s">
        <v>346</v>
      </c>
      <c r="B2" s="312"/>
      <c r="C2" s="76"/>
      <c r="D2" s="77"/>
      <c r="E2" s="77"/>
      <c r="F2" s="133" t="s">
        <v>250</v>
      </c>
      <c r="G2" s="313" t="s">
        <v>380</v>
      </c>
      <c r="H2" s="313"/>
      <c r="I2" s="10"/>
    </row>
    <row r="3" spans="1:9" ht="18.75">
      <c r="A3" s="311" t="s">
        <v>359</v>
      </c>
      <c r="B3" s="312"/>
      <c r="C3" s="74"/>
      <c r="D3" s="73"/>
      <c r="E3" s="75"/>
      <c r="F3" s="133" t="s">
        <v>6</v>
      </c>
      <c r="G3" s="313" t="s">
        <v>381</v>
      </c>
      <c r="H3" s="313"/>
      <c r="I3"/>
    </row>
    <row r="5" spans="1:9" ht="21">
      <c r="A5" s="137"/>
      <c r="B5" s="152" t="s">
        <v>7</v>
      </c>
      <c r="C5" s="138" t="s">
        <v>8</v>
      </c>
      <c r="D5" s="138" t="s">
        <v>9</v>
      </c>
      <c r="E5" s="138" t="s">
        <v>10</v>
      </c>
      <c r="F5" s="138" t="s">
        <v>11</v>
      </c>
      <c r="G5" s="138" t="s">
        <v>12</v>
      </c>
      <c r="H5" s="138" t="s">
        <v>13</v>
      </c>
      <c r="I5" s="223" t="s">
        <v>357</v>
      </c>
    </row>
    <row r="6" spans="1:9" ht="18.75">
      <c r="A6" s="137"/>
      <c r="B6" s="137"/>
      <c r="C6" s="138" t="s">
        <v>347</v>
      </c>
      <c r="D6" s="138" t="s">
        <v>348</v>
      </c>
      <c r="E6" s="138" t="s">
        <v>349</v>
      </c>
      <c r="F6" s="138" t="s">
        <v>350</v>
      </c>
      <c r="G6" s="138"/>
      <c r="H6" s="138"/>
      <c r="I6" s="224"/>
    </row>
    <row r="7" spans="1:9" ht="74.25">
      <c r="A7" s="140"/>
      <c r="B7" s="140"/>
      <c r="C7" s="141" t="s">
        <v>14</v>
      </c>
      <c r="D7" s="141" t="s">
        <v>15</v>
      </c>
      <c r="E7" s="141" t="s">
        <v>15</v>
      </c>
      <c r="F7" s="141" t="s">
        <v>15</v>
      </c>
      <c r="G7" s="141"/>
      <c r="H7" s="142" t="s">
        <v>16</v>
      </c>
      <c r="I7" s="225" t="s">
        <v>378</v>
      </c>
    </row>
    <row r="8" spans="1:9" ht="18.75">
      <c r="A8" s="139" t="s">
        <v>17</v>
      </c>
      <c r="B8" s="139" t="s">
        <v>330</v>
      </c>
      <c r="C8" s="136">
        <v>48</v>
      </c>
      <c r="D8" s="136">
        <v>48</v>
      </c>
      <c r="E8" s="136">
        <v>48</v>
      </c>
      <c r="F8" s="136"/>
      <c r="G8" s="151">
        <f>C8+D8+E8+F8</f>
        <v>144</v>
      </c>
      <c r="H8" s="136"/>
      <c r="I8" s="229" t="b">
        <f>IF(E8="","",D8&lt;=E8)</f>
        <v>1</v>
      </c>
    </row>
    <row r="9" spans="1:9" ht="18.75">
      <c r="A9" s="139" t="s">
        <v>18</v>
      </c>
      <c r="B9" s="139" t="s">
        <v>200</v>
      </c>
      <c r="C9" s="136">
        <v>13</v>
      </c>
      <c r="D9" s="136">
        <v>13</v>
      </c>
      <c r="E9" s="136">
        <v>13</v>
      </c>
      <c r="F9" s="136"/>
      <c r="G9" s="144" t="s">
        <v>28</v>
      </c>
      <c r="H9" s="136"/>
      <c r="I9" s="229"/>
    </row>
    <row r="10" spans="1:9" ht="18.75">
      <c r="A10" s="139" t="s">
        <v>19</v>
      </c>
      <c r="B10" s="139" t="s">
        <v>203</v>
      </c>
      <c r="C10" s="136">
        <v>0</v>
      </c>
      <c r="D10" s="136">
        <v>0</v>
      </c>
      <c r="E10" s="136">
        <f t="shared" ref="E10:F10" si="0">SUM(E11:E12)</f>
        <v>0</v>
      </c>
      <c r="F10" s="136">
        <f t="shared" si="0"/>
        <v>0</v>
      </c>
      <c r="G10" s="144" t="s">
        <v>28</v>
      </c>
      <c r="H10" s="136"/>
      <c r="I10"/>
    </row>
    <row r="11" spans="1:9" ht="18.75">
      <c r="A11" s="190" t="s">
        <v>21</v>
      </c>
      <c r="B11" s="191" t="s">
        <v>201</v>
      </c>
      <c r="C11" s="136">
        <v>0</v>
      </c>
      <c r="D11" s="136">
        <v>0</v>
      </c>
      <c r="E11" s="136">
        <v>0</v>
      </c>
      <c r="F11" s="136"/>
      <c r="G11" s="144" t="s">
        <v>28</v>
      </c>
      <c r="H11" s="136"/>
      <c r="I11"/>
    </row>
    <row r="12" spans="1:9" ht="18.75">
      <c r="A12" s="190" t="s">
        <v>23</v>
      </c>
      <c r="B12" s="191" t="s">
        <v>202</v>
      </c>
      <c r="C12" s="136">
        <v>0</v>
      </c>
      <c r="D12" s="136">
        <v>0</v>
      </c>
      <c r="E12" s="136">
        <v>0</v>
      </c>
      <c r="F12" s="136"/>
      <c r="G12" s="144" t="s">
        <v>28</v>
      </c>
      <c r="H12" s="136"/>
      <c r="I12"/>
    </row>
    <row r="13" spans="1:9" ht="39.75" customHeight="1">
      <c r="A13" s="139" t="s">
        <v>25</v>
      </c>
      <c r="B13" s="139" t="s">
        <v>294</v>
      </c>
      <c r="C13" s="136">
        <v>30</v>
      </c>
      <c r="D13" s="136">
        <v>12</v>
      </c>
      <c r="E13" s="136">
        <f t="shared" ref="E13:F13" si="1">SUM(E14:E19)</f>
        <v>0</v>
      </c>
      <c r="F13" s="136">
        <f t="shared" si="1"/>
        <v>0</v>
      </c>
      <c r="G13" s="151">
        <f t="shared" ref="G13:G19" si="2">C13+D13+E13+F13</f>
        <v>42</v>
      </c>
      <c r="H13" s="136"/>
      <c r="I13"/>
    </row>
    <row r="14" spans="1:9" ht="18.75">
      <c r="A14" s="139" t="s">
        <v>225</v>
      </c>
      <c r="B14" s="162" t="s">
        <v>231</v>
      </c>
      <c r="C14" s="136">
        <v>6</v>
      </c>
      <c r="D14" s="136">
        <v>3</v>
      </c>
      <c r="E14" s="136"/>
      <c r="F14" s="136"/>
      <c r="G14" s="151">
        <f t="shared" si="2"/>
        <v>9</v>
      </c>
      <c r="H14" s="136"/>
      <c r="I14"/>
    </row>
    <row r="15" spans="1:9" ht="18.75">
      <c r="A15" s="139" t="s">
        <v>226</v>
      </c>
      <c r="B15" s="162" t="s">
        <v>232</v>
      </c>
      <c r="C15" s="136">
        <v>6</v>
      </c>
      <c r="D15" s="136">
        <v>3</v>
      </c>
      <c r="E15" s="136"/>
      <c r="F15" s="136"/>
      <c r="G15" s="151">
        <f t="shared" si="2"/>
        <v>9</v>
      </c>
      <c r="H15" s="136"/>
      <c r="I15"/>
    </row>
    <row r="16" spans="1:9" ht="18.75">
      <c r="A16" s="139" t="s">
        <v>227</v>
      </c>
      <c r="B16" s="162" t="s">
        <v>233</v>
      </c>
      <c r="C16" s="136">
        <v>9</v>
      </c>
      <c r="D16" s="136">
        <v>3</v>
      </c>
      <c r="E16" s="136"/>
      <c r="F16" s="136"/>
      <c r="G16" s="151">
        <f t="shared" si="2"/>
        <v>12</v>
      </c>
      <c r="H16" s="136"/>
      <c r="I16"/>
    </row>
    <row r="17" spans="1:9" ht="18.75">
      <c r="A17" s="139" t="s">
        <v>228</v>
      </c>
      <c r="B17" s="162" t="s">
        <v>234</v>
      </c>
      <c r="C17" s="136">
        <v>3</v>
      </c>
      <c r="D17" s="136">
        <v>3</v>
      </c>
      <c r="E17" s="136"/>
      <c r="F17" s="136"/>
      <c r="G17" s="151">
        <f t="shared" si="2"/>
        <v>6</v>
      </c>
      <c r="H17" s="136"/>
      <c r="I17"/>
    </row>
    <row r="18" spans="1:9" ht="18.75">
      <c r="A18" s="139" t="s">
        <v>229</v>
      </c>
      <c r="B18" s="162" t="s">
        <v>235</v>
      </c>
      <c r="C18" s="136">
        <v>6</v>
      </c>
      <c r="D18" s="136">
        <v>0</v>
      </c>
      <c r="E18" s="136"/>
      <c r="F18" s="136"/>
      <c r="G18" s="151">
        <f t="shared" si="2"/>
        <v>6</v>
      </c>
      <c r="H18" s="136"/>
      <c r="I18"/>
    </row>
    <row r="19" spans="1:9" ht="18.75">
      <c r="A19" s="139" t="s">
        <v>230</v>
      </c>
      <c r="B19" s="162" t="s">
        <v>224</v>
      </c>
      <c r="C19" s="136"/>
      <c r="D19" s="136"/>
      <c r="E19" s="136"/>
      <c r="F19" s="136"/>
      <c r="G19" s="151">
        <f t="shared" si="2"/>
        <v>0</v>
      </c>
      <c r="H19" s="136"/>
      <c r="I19"/>
    </row>
    <row r="20" spans="1:9" ht="18.75">
      <c r="A20" s="139" t="s">
        <v>26</v>
      </c>
      <c r="B20" s="139" t="s">
        <v>319</v>
      </c>
      <c r="C20" s="136">
        <v>13</v>
      </c>
      <c r="D20" s="136">
        <v>13</v>
      </c>
      <c r="E20" s="136"/>
      <c r="F20" s="136"/>
      <c r="G20" s="144" t="s">
        <v>28</v>
      </c>
      <c r="H20" s="136"/>
      <c r="I20" s="229" t="str">
        <f>IF(E20="","",E20&lt;=E9)</f>
        <v/>
      </c>
    </row>
    <row r="21" spans="1:9" ht="18.75">
      <c r="A21" s="139" t="s">
        <v>29</v>
      </c>
      <c r="B21" s="139" t="s">
        <v>292</v>
      </c>
      <c r="C21" s="136">
        <v>0</v>
      </c>
      <c r="D21" s="136">
        <v>0</v>
      </c>
      <c r="E21" s="136">
        <f t="shared" ref="E21:F21" si="3">SUM(E22:E25)</f>
        <v>0</v>
      </c>
      <c r="F21" s="136">
        <f t="shared" si="3"/>
        <v>0</v>
      </c>
      <c r="G21" s="151">
        <f t="shared" ref="G21:G26" si="4">C21+D21+E21+F21</f>
        <v>0</v>
      </c>
      <c r="H21" s="136"/>
      <c r="I21"/>
    </row>
    <row r="22" spans="1:9" ht="18.75">
      <c r="A22" s="190" t="s">
        <v>320</v>
      </c>
      <c r="B22" s="216" t="s">
        <v>324</v>
      </c>
      <c r="C22" s="136">
        <v>0</v>
      </c>
      <c r="D22" s="136">
        <v>0</v>
      </c>
      <c r="E22" s="136"/>
      <c r="F22" s="136"/>
      <c r="G22" s="151"/>
      <c r="H22" s="136"/>
      <c r="I22"/>
    </row>
    <row r="23" spans="1:9" ht="18.75">
      <c r="A23" s="190" t="s">
        <v>321</v>
      </c>
      <c r="B23" s="216" t="s">
        <v>325</v>
      </c>
      <c r="C23" s="136">
        <v>0</v>
      </c>
      <c r="D23" s="136">
        <v>0</v>
      </c>
      <c r="E23" s="136"/>
      <c r="F23" s="136"/>
      <c r="G23" s="151"/>
      <c r="H23" s="136"/>
      <c r="I23"/>
    </row>
    <row r="24" spans="1:9" ht="18.75">
      <c r="A24" s="190" t="s">
        <v>322</v>
      </c>
      <c r="B24" s="216" t="s">
        <v>326</v>
      </c>
      <c r="C24" s="136">
        <v>0</v>
      </c>
      <c r="D24" s="136">
        <v>0</v>
      </c>
      <c r="E24" s="136"/>
      <c r="F24" s="136"/>
      <c r="G24" s="151"/>
      <c r="H24" s="136"/>
      <c r="I24"/>
    </row>
    <row r="25" spans="1:9" ht="18.75">
      <c r="A25" s="190" t="s">
        <v>323</v>
      </c>
      <c r="B25" s="216" t="s">
        <v>327</v>
      </c>
      <c r="C25" s="136">
        <v>0</v>
      </c>
      <c r="D25" s="136">
        <v>0</v>
      </c>
      <c r="E25" s="136"/>
      <c r="F25" s="136"/>
      <c r="G25" s="151"/>
      <c r="H25" s="136"/>
      <c r="I25"/>
    </row>
    <row r="26" spans="1:9" ht="18.75">
      <c r="A26" s="139" t="s">
        <v>223</v>
      </c>
      <c r="B26" s="139" t="s">
        <v>291</v>
      </c>
      <c r="C26" s="136">
        <v>0</v>
      </c>
      <c r="D26" s="136">
        <v>0</v>
      </c>
      <c r="E26" s="136"/>
      <c r="F26" s="136"/>
      <c r="G26" s="151">
        <f t="shared" si="4"/>
        <v>0</v>
      </c>
      <c r="H26" s="136"/>
      <c r="I26"/>
    </row>
    <row r="27" spans="1:9" ht="15.75">
      <c r="B27" s="150"/>
      <c r="I27"/>
    </row>
    <row r="28" spans="1:9" s="143" customFormat="1" ht="21">
      <c r="A28" s="137"/>
      <c r="B28" s="152" t="s">
        <v>31</v>
      </c>
      <c r="C28" s="138" t="s">
        <v>8</v>
      </c>
      <c r="D28" s="138" t="s">
        <v>9</v>
      </c>
      <c r="E28" s="138" t="s">
        <v>10</v>
      </c>
      <c r="F28" s="138" t="s">
        <v>11</v>
      </c>
      <c r="G28" s="138" t="s">
        <v>12</v>
      </c>
      <c r="H28" s="138" t="s">
        <v>13</v>
      </c>
      <c r="I28" s="223" t="s">
        <v>357</v>
      </c>
    </row>
    <row r="29" spans="1:9" s="143" customFormat="1" ht="18.75">
      <c r="A29" s="137"/>
      <c r="B29" s="137"/>
      <c r="C29" s="138" t="s">
        <v>347</v>
      </c>
      <c r="D29" s="138" t="s">
        <v>348</v>
      </c>
      <c r="E29" s="138" t="s">
        <v>349</v>
      </c>
      <c r="F29" s="138" t="s">
        <v>350</v>
      </c>
      <c r="G29" s="138"/>
      <c r="H29" s="138"/>
      <c r="I29" s="224"/>
    </row>
    <row r="30" spans="1:9" ht="74.25">
      <c r="A30" s="145"/>
      <c r="B30" s="145"/>
      <c r="C30" s="146" t="s">
        <v>14</v>
      </c>
      <c r="D30" s="146" t="s">
        <v>15</v>
      </c>
      <c r="E30" s="146" t="s">
        <v>15</v>
      </c>
      <c r="F30" s="146" t="s">
        <v>15</v>
      </c>
      <c r="G30" s="146">
        <v>0</v>
      </c>
      <c r="H30" s="147" t="s">
        <v>16</v>
      </c>
      <c r="I30" s="225" t="s">
        <v>379</v>
      </c>
    </row>
    <row r="31" spans="1:9" ht="19.5" thickBot="1">
      <c r="A31" s="148" t="s">
        <v>32</v>
      </c>
      <c r="B31" s="148" t="s">
        <v>33</v>
      </c>
      <c r="C31" s="149">
        <v>94</v>
      </c>
      <c r="D31" s="149">
        <v>120</v>
      </c>
      <c r="E31" s="149">
        <v>154</v>
      </c>
      <c r="F31" s="149"/>
      <c r="G31" s="164" t="s">
        <v>28</v>
      </c>
      <c r="H31" s="149"/>
      <c r="I31" s="229" t="b">
        <f>IF(E31="","",E31=D31+E50)</f>
        <v>1</v>
      </c>
    </row>
    <row r="32" spans="1:9" ht="18.75">
      <c r="A32" s="167" t="s">
        <v>34</v>
      </c>
      <c r="B32" s="168" t="s">
        <v>35</v>
      </c>
      <c r="C32" s="169">
        <v>89</v>
      </c>
      <c r="D32" s="169">
        <v>115</v>
      </c>
      <c r="E32" s="169">
        <v>144</v>
      </c>
      <c r="F32" s="169"/>
      <c r="G32" s="181" t="s">
        <v>28</v>
      </c>
      <c r="H32" s="171"/>
      <c r="I32" s="229" t="b">
        <f>IF(E32="","",E32&gt;=(D32+E50-E65-E81-E96))</f>
        <v>1</v>
      </c>
    </row>
    <row r="33" spans="1:8" ht="18.75">
      <c r="A33" s="182" t="s">
        <v>36</v>
      </c>
      <c r="B33" s="163" t="s">
        <v>37</v>
      </c>
      <c r="C33" s="136">
        <v>31</v>
      </c>
      <c r="D33" s="136">
        <v>33</v>
      </c>
      <c r="E33" s="136">
        <v>39</v>
      </c>
      <c r="F33" s="136"/>
      <c r="G33" s="144" t="s">
        <v>28</v>
      </c>
      <c r="H33" s="172"/>
    </row>
    <row r="34" spans="1:8" ht="18.75">
      <c r="A34" s="182" t="s">
        <v>38</v>
      </c>
      <c r="B34" s="163" t="s">
        <v>39</v>
      </c>
      <c r="C34" s="136">
        <v>15</v>
      </c>
      <c r="D34" s="136">
        <v>22</v>
      </c>
      <c r="E34" s="136">
        <v>23</v>
      </c>
      <c r="F34" s="136"/>
      <c r="G34" s="144" t="s">
        <v>28</v>
      </c>
      <c r="H34" s="172"/>
    </row>
    <row r="35" spans="1:8" ht="18.75">
      <c r="A35" s="182" t="s">
        <v>40</v>
      </c>
      <c r="B35" s="163" t="s">
        <v>243</v>
      </c>
      <c r="C35" s="136">
        <v>0</v>
      </c>
      <c r="D35" s="136">
        <v>0</v>
      </c>
      <c r="E35" s="136">
        <v>0</v>
      </c>
      <c r="F35" s="136"/>
      <c r="G35" s="144"/>
      <c r="H35" s="172"/>
    </row>
    <row r="36" spans="1:8" ht="18.75">
      <c r="A36" s="182" t="s">
        <v>42</v>
      </c>
      <c r="B36" s="163" t="s">
        <v>41</v>
      </c>
      <c r="C36" s="136">
        <v>11</v>
      </c>
      <c r="D36" s="136">
        <v>12</v>
      </c>
      <c r="E36" s="136">
        <v>17</v>
      </c>
      <c r="F36" s="136"/>
      <c r="G36" s="144" t="s">
        <v>28</v>
      </c>
      <c r="H36" s="172"/>
    </row>
    <row r="37" spans="1:8" ht="18.75">
      <c r="A37" s="182" t="s">
        <v>44</v>
      </c>
      <c r="B37" s="163" t="s">
        <v>245</v>
      </c>
      <c r="C37" s="136">
        <v>2</v>
      </c>
      <c r="D37" s="136">
        <v>2</v>
      </c>
      <c r="E37" s="136">
        <v>2</v>
      </c>
      <c r="F37" s="136"/>
      <c r="G37" s="144"/>
      <c r="H37" s="172"/>
    </row>
    <row r="38" spans="1:8" ht="18.75">
      <c r="A38" s="182" t="s">
        <v>46</v>
      </c>
      <c r="B38" s="163" t="s">
        <v>252</v>
      </c>
      <c r="C38" s="136">
        <v>0</v>
      </c>
      <c r="D38" s="136">
        <v>15</v>
      </c>
      <c r="E38" s="136">
        <v>38</v>
      </c>
      <c r="F38" s="136"/>
      <c r="G38" s="144"/>
      <c r="H38" s="172"/>
    </row>
    <row r="39" spans="1:8" ht="18.75">
      <c r="A39" s="182" t="s">
        <v>48</v>
      </c>
      <c r="B39" s="163" t="s">
        <v>244</v>
      </c>
      <c r="C39" s="136">
        <v>15</v>
      </c>
      <c r="D39" s="136">
        <v>0</v>
      </c>
      <c r="E39" s="136">
        <v>0</v>
      </c>
      <c r="F39" s="136"/>
      <c r="G39" s="144" t="s">
        <v>28</v>
      </c>
      <c r="H39" s="172"/>
    </row>
    <row r="40" spans="1:8" ht="18.75">
      <c r="A40" s="182" t="s">
        <v>50</v>
      </c>
      <c r="B40" s="163" t="s">
        <v>45</v>
      </c>
      <c r="C40" s="136">
        <v>0</v>
      </c>
      <c r="D40" s="136">
        <v>0</v>
      </c>
      <c r="E40" s="136">
        <v>0</v>
      </c>
      <c r="F40" s="136"/>
      <c r="G40" s="144" t="s">
        <v>28</v>
      </c>
      <c r="H40" s="172"/>
    </row>
    <row r="41" spans="1:8" ht="18.75">
      <c r="A41" s="182" t="s">
        <v>52</v>
      </c>
      <c r="B41" s="163" t="s">
        <v>49</v>
      </c>
      <c r="C41" s="136">
        <v>15</v>
      </c>
      <c r="D41" s="136">
        <v>23</v>
      </c>
      <c r="E41" s="136">
        <v>31</v>
      </c>
      <c r="F41" s="136"/>
      <c r="G41" s="144" t="s">
        <v>28</v>
      </c>
      <c r="H41" s="172"/>
    </row>
    <row r="42" spans="1:8" ht="18.75">
      <c r="A42" s="182" t="s">
        <v>205</v>
      </c>
      <c r="B42" s="163" t="s">
        <v>51</v>
      </c>
      <c r="C42" s="136">
        <v>0</v>
      </c>
      <c r="D42" s="136">
        <v>0</v>
      </c>
      <c r="E42" s="136">
        <v>0</v>
      </c>
      <c r="F42" s="136"/>
      <c r="G42" s="144" t="s">
        <v>28</v>
      </c>
      <c r="H42" s="172"/>
    </row>
    <row r="43" spans="1:8" ht="18.75">
      <c r="A43" s="182" t="s">
        <v>208</v>
      </c>
      <c r="B43" s="163" t="s">
        <v>206</v>
      </c>
      <c r="C43" s="136">
        <v>0</v>
      </c>
      <c r="D43" s="136">
        <v>0</v>
      </c>
      <c r="E43" s="136">
        <v>0</v>
      </c>
      <c r="F43" s="136"/>
      <c r="G43" s="144" t="s">
        <v>28</v>
      </c>
      <c r="H43" s="172"/>
    </row>
    <row r="44" spans="1:8" ht="18.75">
      <c r="A44" s="182" t="s">
        <v>246</v>
      </c>
      <c r="B44" s="163" t="s">
        <v>207</v>
      </c>
      <c r="C44" s="136">
        <v>0</v>
      </c>
      <c r="D44" s="136">
        <v>0</v>
      </c>
      <c r="E44" s="136">
        <v>0</v>
      </c>
      <c r="F44" s="136"/>
      <c r="G44" s="144" t="s">
        <v>28</v>
      </c>
      <c r="H44" s="172"/>
    </row>
    <row r="45" spans="1:8" ht="18.75">
      <c r="A45" s="182" t="s">
        <v>247</v>
      </c>
      <c r="B45" s="217" t="s">
        <v>351</v>
      </c>
      <c r="C45" s="149">
        <v>0</v>
      </c>
      <c r="D45" s="149">
        <v>0</v>
      </c>
      <c r="E45" s="149">
        <v>0</v>
      </c>
      <c r="F45" s="149"/>
      <c r="G45" s="164"/>
      <c r="H45" s="214"/>
    </row>
    <row r="46" spans="1:8" ht="19.5" thickBot="1">
      <c r="A46" s="182" t="s">
        <v>333</v>
      </c>
      <c r="B46" s="218" t="s">
        <v>53</v>
      </c>
      <c r="C46" s="173">
        <v>0</v>
      </c>
      <c r="D46" s="173">
        <v>0</v>
      </c>
      <c r="E46" s="173">
        <v>0</v>
      </c>
      <c r="F46" s="173"/>
      <c r="G46" s="174" t="s">
        <v>28</v>
      </c>
      <c r="H46" s="175"/>
    </row>
    <row r="47" spans="1:8" ht="18.75">
      <c r="A47" s="165" t="s">
        <v>54</v>
      </c>
      <c r="B47" s="165" t="s">
        <v>55</v>
      </c>
      <c r="C47" s="166">
        <v>31</v>
      </c>
      <c r="D47" s="166">
        <v>40</v>
      </c>
      <c r="E47" s="166">
        <v>50</v>
      </c>
      <c r="F47" s="166"/>
      <c r="G47" s="176" t="s">
        <v>28</v>
      </c>
      <c r="H47" s="171"/>
    </row>
    <row r="48" spans="1:8" ht="18.75">
      <c r="A48" s="139" t="s">
        <v>56</v>
      </c>
      <c r="B48" s="139" t="s">
        <v>57</v>
      </c>
      <c r="C48" s="136">
        <v>52</v>
      </c>
      <c r="D48" s="136">
        <v>68</v>
      </c>
      <c r="E48" s="136">
        <v>95</v>
      </c>
      <c r="F48" s="136"/>
      <c r="G48" s="144" t="s">
        <v>28</v>
      </c>
      <c r="H48" s="172"/>
    </row>
    <row r="49" spans="1:8" ht="19.5" thickBot="1">
      <c r="A49" s="148" t="s">
        <v>59</v>
      </c>
      <c r="B49" s="148" t="s">
        <v>288</v>
      </c>
      <c r="C49" s="149">
        <v>80</v>
      </c>
      <c r="D49" s="149">
        <v>75</v>
      </c>
      <c r="E49" s="149">
        <v>92</v>
      </c>
      <c r="F49" s="149"/>
      <c r="G49" s="164" t="s">
        <v>28</v>
      </c>
      <c r="H49" s="175"/>
    </row>
    <row r="50" spans="1:8" ht="18.75">
      <c r="A50" s="167" t="s">
        <v>61</v>
      </c>
      <c r="B50" s="168" t="s">
        <v>290</v>
      </c>
      <c r="C50" s="169">
        <v>16</v>
      </c>
      <c r="D50" s="169">
        <v>26</v>
      </c>
      <c r="E50" s="169">
        <v>34</v>
      </c>
      <c r="F50" s="169"/>
      <c r="G50" s="170">
        <f>C50+D50+E50+F50</f>
        <v>76</v>
      </c>
      <c r="H50" s="171"/>
    </row>
    <row r="51" spans="1:8" ht="18.75">
      <c r="A51" s="182" t="s">
        <v>209</v>
      </c>
      <c r="B51" s="163" t="s">
        <v>37</v>
      </c>
      <c r="C51" s="136">
        <v>2</v>
      </c>
      <c r="D51" s="136">
        <v>9</v>
      </c>
      <c r="E51" s="136">
        <v>6</v>
      </c>
      <c r="F51" s="136"/>
      <c r="G51" s="151">
        <f t="shared" ref="G51:G79" si="5">C51+D51+E51+F51</f>
        <v>17</v>
      </c>
      <c r="H51" s="172"/>
    </row>
    <row r="52" spans="1:8" ht="18.75">
      <c r="A52" s="182" t="s">
        <v>210</v>
      </c>
      <c r="B52" s="163" t="s">
        <v>39</v>
      </c>
      <c r="C52" s="136">
        <v>2</v>
      </c>
      <c r="D52" s="136">
        <v>3</v>
      </c>
      <c r="E52" s="136">
        <v>1</v>
      </c>
      <c r="F52" s="136"/>
      <c r="G52" s="151">
        <f t="shared" si="5"/>
        <v>6</v>
      </c>
      <c r="H52" s="172"/>
    </row>
    <row r="53" spans="1:8" ht="18.75">
      <c r="A53" s="182" t="s">
        <v>211</v>
      </c>
      <c r="B53" s="163" t="s">
        <v>243</v>
      </c>
      <c r="C53" s="136">
        <v>0</v>
      </c>
      <c r="D53" s="136">
        <v>0</v>
      </c>
      <c r="E53" s="136">
        <v>0</v>
      </c>
      <c r="F53" s="136"/>
      <c r="G53" s="151">
        <f t="shared" si="5"/>
        <v>0</v>
      </c>
      <c r="H53" s="172"/>
    </row>
    <row r="54" spans="1:8" ht="18.75">
      <c r="A54" s="182" t="s">
        <v>212</v>
      </c>
      <c r="B54" s="163" t="s">
        <v>41</v>
      </c>
      <c r="C54" s="136">
        <v>3</v>
      </c>
      <c r="D54" s="136">
        <v>2</v>
      </c>
      <c r="E54" s="136">
        <v>5</v>
      </c>
      <c r="F54" s="136"/>
      <c r="G54" s="151">
        <f t="shared" si="5"/>
        <v>10</v>
      </c>
      <c r="H54" s="172"/>
    </row>
    <row r="55" spans="1:8" ht="18.75">
      <c r="A55" s="182" t="s">
        <v>213</v>
      </c>
      <c r="B55" s="163" t="s">
        <v>245</v>
      </c>
      <c r="C55" s="136">
        <v>1</v>
      </c>
      <c r="D55" s="136">
        <v>0</v>
      </c>
      <c r="E55" s="136">
        <v>0</v>
      </c>
      <c r="F55" s="136"/>
      <c r="G55" s="151">
        <f t="shared" si="5"/>
        <v>1</v>
      </c>
      <c r="H55" s="172"/>
    </row>
    <row r="56" spans="1:8" ht="18.75">
      <c r="A56" s="182" t="s">
        <v>214</v>
      </c>
      <c r="B56" s="163" t="s">
        <v>252</v>
      </c>
      <c r="C56" s="136">
        <v>0</v>
      </c>
      <c r="D56" s="136">
        <v>0</v>
      </c>
      <c r="E56" s="136">
        <v>0</v>
      </c>
      <c r="F56" s="136"/>
      <c r="G56" s="151">
        <f t="shared" si="5"/>
        <v>0</v>
      </c>
      <c r="H56" s="172"/>
    </row>
    <row r="57" spans="1:8" ht="18.75">
      <c r="A57" s="182" t="s">
        <v>215</v>
      </c>
      <c r="B57" s="163" t="s">
        <v>244</v>
      </c>
      <c r="C57" s="136">
        <v>6</v>
      </c>
      <c r="D57" s="136">
        <v>4</v>
      </c>
      <c r="E57" s="136">
        <v>13</v>
      </c>
      <c r="F57" s="136"/>
      <c r="G57" s="151">
        <f t="shared" si="5"/>
        <v>23</v>
      </c>
      <c r="H57" s="172"/>
    </row>
    <row r="58" spans="1:8" ht="18.75">
      <c r="A58" s="182" t="s">
        <v>216</v>
      </c>
      <c r="B58" s="163" t="s">
        <v>45</v>
      </c>
      <c r="C58" s="136">
        <v>0</v>
      </c>
      <c r="D58" s="136">
        <v>0</v>
      </c>
      <c r="E58" s="136">
        <v>0</v>
      </c>
      <c r="F58" s="136"/>
      <c r="G58" s="151">
        <f t="shared" si="5"/>
        <v>0</v>
      </c>
      <c r="H58" s="172"/>
    </row>
    <row r="59" spans="1:8" ht="18.75">
      <c r="A59" s="182" t="s">
        <v>217</v>
      </c>
      <c r="B59" s="163" t="s">
        <v>49</v>
      </c>
      <c r="C59" s="136">
        <v>2</v>
      </c>
      <c r="D59" s="136">
        <v>8</v>
      </c>
      <c r="E59" s="136">
        <v>8</v>
      </c>
      <c r="F59" s="136"/>
      <c r="G59" s="151">
        <f t="shared" si="5"/>
        <v>18</v>
      </c>
      <c r="H59" s="172"/>
    </row>
    <row r="60" spans="1:8" ht="18.75">
      <c r="A60" s="182" t="s">
        <v>218</v>
      </c>
      <c r="B60" s="163" t="s">
        <v>51</v>
      </c>
      <c r="C60" s="136">
        <v>0</v>
      </c>
      <c r="D60" s="136">
        <v>0</v>
      </c>
      <c r="E60" s="136">
        <v>0</v>
      </c>
      <c r="F60" s="136"/>
      <c r="G60" s="151">
        <f t="shared" si="5"/>
        <v>0</v>
      </c>
      <c r="H60" s="172"/>
    </row>
    <row r="61" spans="1:8" ht="18.75">
      <c r="A61" s="182" t="s">
        <v>219</v>
      </c>
      <c r="B61" s="163" t="s">
        <v>206</v>
      </c>
      <c r="C61" s="136">
        <v>0</v>
      </c>
      <c r="D61" s="136">
        <v>0</v>
      </c>
      <c r="E61" s="136">
        <v>0</v>
      </c>
      <c r="F61" s="136"/>
      <c r="G61" s="151">
        <f t="shared" si="5"/>
        <v>0</v>
      </c>
      <c r="H61" s="172"/>
    </row>
    <row r="62" spans="1:8" ht="18.75">
      <c r="A62" s="182" t="s">
        <v>248</v>
      </c>
      <c r="B62" s="163" t="s">
        <v>207</v>
      </c>
      <c r="C62" s="136">
        <v>0</v>
      </c>
      <c r="D62" s="136">
        <v>0</v>
      </c>
      <c r="E62" s="136">
        <v>0</v>
      </c>
      <c r="F62" s="136"/>
      <c r="G62" s="151">
        <f t="shared" si="5"/>
        <v>0</v>
      </c>
      <c r="H62" s="172"/>
    </row>
    <row r="63" spans="1:8" ht="18.75">
      <c r="A63" s="182" t="s">
        <v>249</v>
      </c>
      <c r="B63" s="217" t="s">
        <v>334</v>
      </c>
      <c r="C63" s="149">
        <v>0</v>
      </c>
      <c r="D63" s="149">
        <v>0</v>
      </c>
      <c r="E63" s="149">
        <v>0</v>
      </c>
      <c r="F63" s="149"/>
      <c r="G63" s="215">
        <f t="shared" si="5"/>
        <v>0</v>
      </c>
      <c r="H63" s="214"/>
    </row>
    <row r="64" spans="1:8" ht="19.5" thickBot="1">
      <c r="A64" s="182" t="s">
        <v>335</v>
      </c>
      <c r="B64" s="218" t="s">
        <v>53</v>
      </c>
      <c r="C64" s="173">
        <v>0</v>
      </c>
      <c r="D64" s="173">
        <v>0</v>
      </c>
      <c r="E64" s="173">
        <v>0</v>
      </c>
      <c r="F64" s="173"/>
      <c r="G64" s="177">
        <f t="shared" si="5"/>
        <v>0</v>
      </c>
      <c r="H64" s="175"/>
    </row>
    <row r="65" spans="1:8" ht="18.75">
      <c r="A65" s="167" t="s">
        <v>62</v>
      </c>
      <c r="B65" s="168" t="s">
        <v>289</v>
      </c>
      <c r="C65" s="169">
        <v>0</v>
      </c>
      <c r="D65" s="169">
        <v>7</v>
      </c>
      <c r="E65" s="169">
        <v>9</v>
      </c>
      <c r="F65" s="169"/>
      <c r="G65" s="170">
        <f t="shared" si="5"/>
        <v>16</v>
      </c>
      <c r="H65" s="171"/>
    </row>
    <row r="66" spans="1:8" ht="18.75">
      <c r="A66" s="182" t="s">
        <v>63</v>
      </c>
      <c r="B66" s="162" t="s">
        <v>37</v>
      </c>
      <c r="C66" s="136">
        <v>0</v>
      </c>
      <c r="D66" s="136">
        <v>1</v>
      </c>
      <c r="E66" s="136">
        <v>1</v>
      </c>
      <c r="F66" s="136"/>
      <c r="G66" s="151">
        <f t="shared" si="5"/>
        <v>2</v>
      </c>
      <c r="H66" s="172"/>
    </row>
    <row r="67" spans="1:8" ht="18.75">
      <c r="A67" s="182" t="s">
        <v>64</v>
      </c>
      <c r="B67" s="162" t="s">
        <v>39</v>
      </c>
      <c r="C67" s="136">
        <v>0</v>
      </c>
      <c r="D67" s="136">
        <v>4</v>
      </c>
      <c r="E67" s="136">
        <v>4</v>
      </c>
      <c r="F67" s="136"/>
      <c r="G67" s="151">
        <f t="shared" si="5"/>
        <v>8</v>
      </c>
      <c r="H67" s="172"/>
    </row>
    <row r="68" spans="1:8" ht="18.75">
      <c r="A68" s="182" t="s">
        <v>65</v>
      </c>
      <c r="B68" s="162" t="s">
        <v>243</v>
      </c>
      <c r="C68" s="136">
        <v>0</v>
      </c>
      <c r="D68" s="136">
        <v>0</v>
      </c>
      <c r="E68" s="136">
        <v>0</v>
      </c>
      <c r="F68" s="136"/>
      <c r="G68" s="151">
        <f t="shared" si="5"/>
        <v>0</v>
      </c>
      <c r="H68" s="172"/>
    </row>
    <row r="69" spans="1:8" ht="18.75">
      <c r="A69" s="182" t="s">
        <v>66</v>
      </c>
      <c r="B69" s="162" t="s">
        <v>41</v>
      </c>
      <c r="C69" s="136">
        <v>0</v>
      </c>
      <c r="D69" s="136">
        <v>0</v>
      </c>
      <c r="E69" s="136">
        <v>0</v>
      </c>
      <c r="F69" s="136"/>
      <c r="G69" s="151">
        <f t="shared" si="5"/>
        <v>0</v>
      </c>
      <c r="H69" s="172"/>
    </row>
    <row r="70" spans="1:8" ht="18.75">
      <c r="A70" s="182" t="s">
        <v>67</v>
      </c>
      <c r="B70" s="162" t="s">
        <v>245</v>
      </c>
      <c r="C70" s="136">
        <v>0</v>
      </c>
      <c r="D70" s="136">
        <v>0</v>
      </c>
      <c r="E70" s="136">
        <v>0</v>
      </c>
      <c r="F70" s="136"/>
      <c r="G70" s="151">
        <f t="shared" si="5"/>
        <v>0</v>
      </c>
      <c r="H70" s="172"/>
    </row>
    <row r="71" spans="1:8" ht="18.75">
      <c r="A71" s="182" t="s">
        <v>68</v>
      </c>
      <c r="B71" s="162" t="s">
        <v>252</v>
      </c>
      <c r="C71" s="136">
        <v>0</v>
      </c>
      <c r="D71" s="136">
        <v>0</v>
      </c>
      <c r="E71" s="136">
        <v>0</v>
      </c>
      <c r="F71" s="136"/>
      <c r="G71" s="151">
        <f t="shared" si="5"/>
        <v>0</v>
      </c>
      <c r="H71" s="172"/>
    </row>
    <row r="72" spans="1:8" ht="18.75">
      <c r="A72" s="182" t="s">
        <v>69</v>
      </c>
      <c r="B72" s="162" t="s">
        <v>244</v>
      </c>
      <c r="C72" s="136">
        <v>0</v>
      </c>
      <c r="D72" s="136">
        <v>2</v>
      </c>
      <c r="E72" s="136">
        <v>3</v>
      </c>
      <c r="F72" s="136"/>
      <c r="G72" s="151">
        <f t="shared" si="5"/>
        <v>5</v>
      </c>
      <c r="H72" s="172"/>
    </row>
    <row r="73" spans="1:8" ht="18.75">
      <c r="A73" s="182" t="s">
        <v>70</v>
      </c>
      <c r="B73" s="162" t="s">
        <v>45</v>
      </c>
      <c r="C73" s="136">
        <v>0</v>
      </c>
      <c r="D73" s="136">
        <v>0</v>
      </c>
      <c r="E73" s="136">
        <v>0</v>
      </c>
      <c r="F73" s="136"/>
      <c r="G73" s="151">
        <f t="shared" si="5"/>
        <v>0</v>
      </c>
      <c r="H73" s="172"/>
    </row>
    <row r="74" spans="1:8" ht="18.75">
      <c r="A74" s="182" t="s">
        <v>71</v>
      </c>
      <c r="B74" s="162" t="s">
        <v>49</v>
      </c>
      <c r="C74" s="136">
        <v>0</v>
      </c>
      <c r="D74" s="136">
        <v>0</v>
      </c>
      <c r="E74" s="136">
        <v>1</v>
      </c>
      <c r="F74" s="136"/>
      <c r="G74" s="151">
        <f t="shared" si="5"/>
        <v>1</v>
      </c>
      <c r="H74" s="172"/>
    </row>
    <row r="75" spans="1:8" ht="18.75">
      <c r="A75" s="182" t="s">
        <v>261</v>
      </c>
      <c r="B75" s="162" t="s">
        <v>51</v>
      </c>
      <c r="C75" s="136">
        <v>0</v>
      </c>
      <c r="D75" s="136">
        <v>0</v>
      </c>
      <c r="E75" s="136">
        <v>0</v>
      </c>
      <c r="F75" s="136"/>
      <c r="G75" s="151">
        <f t="shared" si="5"/>
        <v>0</v>
      </c>
      <c r="H75" s="172"/>
    </row>
    <row r="76" spans="1:8" ht="18.75">
      <c r="A76" s="182" t="s">
        <v>262</v>
      </c>
      <c r="B76" s="162" t="s">
        <v>206</v>
      </c>
      <c r="C76" s="136">
        <v>0</v>
      </c>
      <c r="D76" s="136">
        <v>0</v>
      </c>
      <c r="E76" s="136">
        <v>0</v>
      </c>
      <c r="F76" s="136"/>
      <c r="G76" s="151">
        <f t="shared" si="5"/>
        <v>0</v>
      </c>
      <c r="H76" s="172"/>
    </row>
    <row r="77" spans="1:8" ht="18.75">
      <c r="A77" s="182" t="s">
        <v>263</v>
      </c>
      <c r="B77" s="162" t="s">
        <v>207</v>
      </c>
      <c r="C77" s="136">
        <v>0</v>
      </c>
      <c r="D77" s="136">
        <v>0</v>
      </c>
      <c r="E77" s="136">
        <v>0</v>
      </c>
      <c r="F77" s="136"/>
      <c r="G77" s="151">
        <f t="shared" si="5"/>
        <v>0</v>
      </c>
      <c r="H77" s="172"/>
    </row>
    <row r="78" spans="1:8" ht="18.75">
      <c r="A78" s="182" t="s">
        <v>264</v>
      </c>
      <c r="B78" s="217" t="s">
        <v>334</v>
      </c>
      <c r="C78" s="149">
        <v>0</v>
      </c>
      <c r="D78" s="149">
        <v>0</v>
      </c>
      <c r="E78" s="149">
        <v>0</v>
      </c>
      <c r="F78" s="149"/>
      <c r="G78" s="215">
        <f t="shared" si="5"/>
        <v>0</v>
      </c>
      <c r="H78" s="214"/>
    </row>
    <row r="79" spans="1:8" ht="19.5" thickBot="1">
      <c r="A79" s="182" t="s">
        <v>336</v>
      </c>
      <c r="B79" s="219" t="s">
        <v>53</v>
      </c>
      <c r="C79" s="173">
        <v>0</v>
      </c>
      <c r="D79" s="173">
        <v>0</v>
      </c>
      <c r="E79" s="173">
        <v>0</v>
      </c>
      <c r="F79" s="173"/>
      <c r="G79" s="177">
        <f t="shared" si="5"/>
        <v>0</v>
      </c>
      <c r="H79" s="175"/>
    </row>
    <row r="80" spans="1:8" ht="19.5" thickBot="1">
      <c r="A80" s="192" t="s">
        <v>72</v>
      </c>
      <c r="B80" s="178" t="s">
        <v>204</v>
      </c>
      <c r="C80" s="179">
        <v>3</v>
      </c>
      <c r="D80" s="179">
        <v>4</v>
      </c>
      <c r="E80" s="179">
        <v>5</v>
      </c>
      <c r="F80" s="179"/>
      <c r="G80" s="180" t="s">
        <v>28</v>
      </c>
      <c r="H80" s="193"/>
    </row>
    <row r="81" spans="1:8" ht="18.75">
      <c r="A81" s="167" t="s">
        <v>74</v>
      </c>
      <c r="B81" s="168" t="s">
        <v>75</v>
      </c>
      <c r="C81" s="169">
        <v>0</v>
      </c>
      <c r="D81" s="169">
        <v>0</v>
      </c>
      <c r="E81" s="169">
        <v>1</v>
      </c>
      <c r="F81" s="169"/>
      <c r="G81" s="170">
        <f t="shared" ref="G81:G97" si="6">C81+D81+E81+F81</f>
        <v>1</v>
      </c>
      <c r="H81" s="171"/>
    </row>
    <row r="82" spans="1:8" ht="18.75">
      <c r="A82" s="183" t="s">
        <v>76</v>
      </c>
      <c r="B82" s="162" t="s">
        <v>37</v>
      </c>
      <c r="C82" s="136">
        <v>0</v>
      </c>
      <c r="D82" s="136">
        <v>0</v>
      </c>
      <c r="E82" s="136">
        <v>0</v>
      </c>
      <c r="F82" s="136"/>
      <c r="G82" s="151">
        <f t="shared" si="6"/>
        <v>0</v>
      </c>
      <c r="H82" s="172"/>
    </row>
    <row r="83" spans="1:8" ht="18.75">
      <c r="A83" s="183" t="s">
        <v>77</v>
      </c>
      <c r="B83" s="162" t="s">
        <v>39</v>
      </c>
      <c r="C83" s="136">
        <v>0</v>
      </c>
      <c r="D83" s="136">
        <v>0</v>
      </c>
      <c r="E83" s="136">
        <v>1</v>
      </c>
      <c r="F83" s="136"/>
      <c r="G83" s="151">
        <f t="shared" si="6"/>
        <v>1</v>
      </c>
      <c r="H83" s="172"/>
    </row>
    <row r="84" spans="1:8" ht="18.75">
      <c r="A84" s="183" t="s">
        <v>78</v>
      </c>
      <c r="B84" s="162" t="s">
        <v>243</v>
      </c>
      <c r="C84" s="136">
        <v>0</v>
      </c>
      <c r="D84" s="136">
        <v>0</v>
      </c>
      <c r="E84" s="136">
        <v>0</v>
      </c>
      <c r="F84" s="136"/>
      <c r="G84" s="151">
        <f t="shared" si="6"/>
        <v>0</v>
      </c>
      <c r="H84" s="172"/>
    </row>
    <row r="85" spans="1:8" ht="18.75">
      <c r="A85" s="183" t="s">
        <v>79</v>
      </c>
      <c r="B85" s="162" t="s">
        <v>41</v>
      </c>
      <c r="C85" s="136">
        <v>0</v>
      </c>
      <c r="D85" s="136">
        <v>0</v>
      </c>
      <c r="E85" s="136">
        <v>0</v>
      </c>
      <c r="F85" s="136"/>
      <c r="G85" s="151">
        <f t="shared" si="6"/>
        <v>0</v>
      </c>
      <c r="H85" s="172"/>
    </row>
    <row r="86" spans="1:8" ht="18.75">
      <c r="A86" s="183" t="s">
        <v>80</v>
      </c>
      <c r="B86" s="162" t="s">
        <v>245</v>
      </c>
      <c r="C86" s="136">
        <v>0</v>
      </c>
      <c r="D86" s="136">
        <v>0</v>
      </c>
      <c r="E86" s="136">
        <v>0</v>
      </c>
      <c r="F86" s="136"/>
      <c r="G86" s="151">
        <f t="shared" si="6"/>
        <v>0</v>
      </c>
      <c r="H86" s="172"/>
    </row>
    <row r="87" spans="1:8" ht="18.75">
      <c r="A87" s="183" t="s">
        <v>81</v>
      </c>
      <c r="B87" s="162" t="s">
        <v>252</v>
      </c>
      <c r="C87" s="136">
        <v>0</v>
      </c>
      <c r="D87" s="136">
        <v>1</v>
      </c>
      <c r="E87" s="136">
        <v>0</v>
      </c>
      <c r="F87" s="136"/>
      <c r="G87" s="151">
        <f t="shared" si="6"/>
        <v>1</v>
      </c>
      <c r="H87" s="172"/>
    </row>
    <row r="88" spans="1:8" ht="18.75">
      <c r="A88" s="183" t="s">
        <v>82</v>
      </c>
      <c r="B88" s="162" t="s">
        <v>244</v>
      </c>
      <c r="C88" s="136">
        <v>0</v>
      </c>
      <c r="D88" s="136">
        <v>0</v>
      </c>
      <c r="E88" s="136">
        <v>0</v>
      </c>
      <c r="F88" s="136"/>
      <c r="G88" s="151">
        <f t="shared" si="6"/>
        <v>0</v>
      </c>
      <c r="H88" s="172"/>
    </row>
    <row r="89" spans="1:8" ht="18.75">
      <c r="A89" s="183" t="s">
        <v>83</v>
      </c>
      <c r="B89" s="162" t="s">
        <v>45</v>
      </c>
      <c r="C89" s="136">
        <v>0</v>
      </c>
      <c r="D89" s="136">
        <v>0</v>
      </c>
      <c r="E89" s="136">
        <v>0</v>
      </c>
      <c r="F89" s="136"/>
      <c r="G89" s="151">
        <f t="shared" si="6"/>
        <v>0</v>
      </c>
      <c r="H89" s="172"/>
    </row>
    <row r="90" spans="1:8" ht="18.75">
      <c r="A90" s="183" t="s">
        <v>84</v>
      </c>
      <c r="B90" s="162" t="s">
        <v>49</v>
      </c>
      <c r="C90" s="136">
        <v>0</v>
      </c>
      <c r="D90" s="136">
        <v>0</v>
      </c>
      <c r="E90" s="136">
        <v>0</v>
      </c>
      <c r="F90" s="136"/>
      <c r="G90" s="151">
        <f t="shared" si="6"/>
        <v>0</v>
      </c>
      <c r="H90" s="172"/>
    </row>
    <row r="91" spans="1:8" ht="18.75">
      <c r="A91" s="183" t="s">
        <v>265</v>
      </c>
      <c r="B91" s="162" t="s">
        <v>51</v>
      </c>
      <c r="C91" s="136">
        <v>0</v>
      </c>
      <c r="D91" s="136">
        <v>0</v>
      </c>
      <c r="E91" s="136">
        <v>0</v>
      </c>
      <c r="F91" s="136"/>
      <c r="G91" s="151">
        <f t="shared" si="6"/>
        <v>0</v>
      </c>
      <c r="H91" s="172"/>
    </row>
    <row r="92" spans="1:8" ht="18.75">
      <c r="A92" s="183" t="s">
        <v>266</v>
      </c>
      <c r="B92" s="162" t="s">
        <v>206</v>
      </c>
      <c r="C92" s="136">
        <v>0</v>
      </c>
      <c r="D92" s="136">
        <v>0</v>
      </c>
      <c r="E92" s="136">
        <v>0</v>
      </c>
      <c r="F92" s="136"/>
      <c r="G92" s="151">
        <f t="shared" si="6"/>
        <v>0</v>
      </c>
      <c r="H92" s="172"/>
    </row>
    <row r="93" spans="1:8" ht="18.75">
      <c r="A93" s="183" t="s">
        <v>267</v>
      </c>
      <c r="B93" s="162" t="s">
        <v>207</v>
      </c>
      <c r="C93" s="136">
        <v>0</v>
      </c>
      <c r="D93" s="136">
        <v>0</v>
      </c>
      <c r="E93" s="136">
        <v>0</v>
      </c>
      <c r="F93" s="136"/>
      <c r="G93" s="151">
        <f t="shared" si="6"/>
        <v>0</v>
      </c>
      <c r="H93" s="172"/>
    </row>
    <row r="94" spans="1:8" ht="18.75">
      <c r="A94" s="183" t="s">
        <v>268</v>
      </c>
      <c r="B94" s="217" t="s">
        <v>334</v>
      </c>
      <c r="C94" s="149">
        <v>0</v>
      </c>
      <c r="D94" s="149">
        <v>0</v>
      </c>
      <c r="E94" s="149">
        <v>0</v>
      </c>
      <c r="F94" s="149"/>
      <c r="G94" s="215">
        <f t="shared" si="6"/>
        <v>0</v>
      </c>
      <c r="H94" s="214"/>
    </row>
    <row r="95" spans="1:8" ht="19.5" thickBot="1">
      <c r="A95" s="183" t="s">
        <v>337</v>
      </c>
      <c r="B95" s="219" t="s">
        <v>53</v>
      </c>
      <c r="C95" s="173">
        <v>0</v>
      </c>
      <c r="D95" s="173">
        <v>0</v>
      </c>
      <c r="E95" s="173">
        <v>0</v>
      </c>
      <c r="F95" s="173"/>
      <c r="G95" s="177">
        <f t="shared" si="6"/>
        <v>0</v>
      </c>
      <c r="H95" s="175"/>
    </row>
    <row r="96" spans="1:8" ht="19.5" thickBot="1">
      <c r="A96" s="192" t="s">
        <v>85</v>
      </c>
      <c r="B96" s="220" t="s">
        <v>329</v>
      </c>
      <c r="C96" s="211">
        <v>0</v>
      </c>
      <c r="D96" s="211">
        <v>0</v>
      </c>
      <c r="E96" s="211">
        <v>1</v>
      </c>
      <c r="F96" s="211"/>
      <c r="G96" s="212">
        <f t="shared" si="6"/>
        <v>1</v>
      </c>
      <c r="H96" s="213"/>
    </row>
    <row r="97" spans="1:8" ht="19.5" thickBot="1">
      <c r="A97" s="192" t="s">
        <v>328</v>
      </c>
      <c r="B97" s="192" t="s">
        <v>317</v>
      </c>
      <c r="C97" s="194">
        <v>2</v>
      </c>
      <c r="D97" s="194">
        <v>1</v>
      </c>
      <c r="E97" s="194">
        <v>2</v>
      </c>
      <c r="F97" s="194"/>
      <c r="G97" s="195">
        <f t="shared" si="6"/>
        <v>5</v>
      </c>
      <c r="H97" s="193"/>
    </row>
    <row r="98" spans="1:8" ht="37.5">
      <c r="B98" s="161" t="s">
        <v>257</v>
      </c>
    </row>
    <row r="100" spans="1:8" ht="30.95" customHeight="1">
      <c r="A100" s="309" t="s">
        <v>220</v>
      </c>
      <c r="B100" s="309"/>
      <c r="C100" s="309"/>
      <c r="D100" s="309"/>
      <c r="E100" s="309"/>
      <c r="F100" s="309"/>
      <c r="G100" s="309"/>
      <c r="H100" s="309"/>
    </row>
    <row r="101" spans="1:8" ht="37.5">
      <c r="A101" s="153"/>
      <c r="B101" s="154" t="s">
        <v>86</v>
      </c>
      <c r="C101" s="155" t="s">
        <v>8</v>
      </c>
      <c r="D101" s="155" t="s">
        <v>9</v>
      </c>
      <c r="E101" s="155" t="s">
        <v>10</v>
      </c>
      <c r="F101" s="155" t="s">
        <v>11</v>
      </c>
      <c r="G101" s="155" t="s">
        <v>242</v>
      </c>
      <c r="H101" s="155" t="s">
        <v>236</v>
      </c>
    </row>
    <row r="102" spans="1:8" ht="18.75">
      <c r="A102" s="156"/>
      <c r="B102" s="157" t="s">
        <v>87</v>
      </c>
      <c r="C102" s="158"/>
      <c r="D102" s="158"/>
      <c r="E102" s="158"/>
      <c r="F102" s="158"/>
      <c r="G102" s="158"/>
      <c r="H102" s="159" t="s">
        <v>16</v>
      </c>
    </row>
    <row r="103" spans="1:8" ht="37.5">
      <c r="A103" s="135"/>
      <c r="B103" s="139" t="s">
        <v>240</v>
      </c>
      <c r="C103" s="160">
        <f>C9/C8</f>
        <v>0.27083333333333331</v>
      </c>
      <c r="D103" s="160">
        <f>D9/D8</f>
        <v>0.27083333333333331</v>
      </c>
      <c r="E103" s="160">
        <f>E9/E8</f>
        <v>0.27083333333333331</v>
      </c>
      <c r="F103" s="160" t="e">
        <f>F9/F8</f>
        <v>#DIV/0!</v>
      </c>
      <c r="G103" s="184" t="s">
        <v>28</v>
      </c>
      <c r="H103" s="184" t="s">
        <v>28</v>
      </c>
    </row>
    <row r="104" spans="1:8" ht="18.75">
      <c r="A104" s="135"/>
      <c r="B104" s="139" t="s">
        <v>239</v>
      </c>
      <c r="C104" s="160">
        <f>C21/90</f>
        <v>0</v>
      </c>
      <c r="D104" s="160">
        <f>D21/90</f>
        <v>0</v>
      </c>
      <c r="E104" s="160">
        <f>E21/90</f>
        <v>0</v>
      </c>
      <c r="F104" s="160">
        <f>F21/90</f>
        <v>0</v>
      </c>
      <c r="G104" s="134">
        <f>G21/365</f>
        <v>0</v>
      </c>
      <c r="H104" s="184" t="s">
        <v>28</v>
      </c>
    </row>
    <row r="105" spans="1:8" ht="37.5">
      <c r="A105" s="135"/>
      <c r="B105" s="139" t="s">
        <v>238</v>
      </c>
      <c r="C105" s="160">
        <f>C32/C31</f>
        <v>0.94680851063829785</v>
      </c>
      <c r="D105" s="160">
        <f>D32/D31</f>
        <v>0.95833333333333337</v>
      </c>
      <c r="E105" s="160">
        <f>E32/E31</f>
        <v>0.93506493506493504</v>
      </c>
      <c r="F105" s="160" t="e">
        <f>F32/F31</f>
        <v>#DIV/0!</v>
      </c>
      <c r="G105" s="184" t="s">
        <v>28</v>
      </c>
      <c r="H105" s="184" t="s">
        <v>28</v>
      </c>
    </row>
    <row r="106" spans="1:8" ht="18.75">
      <c r="A106" s="156"/>
      <c r="B106" s="157" t="s">
        <v>241</v>
      </c>
      <c r="C106" s="185"/>
      <c r="D106" s="185"/>
      <c r="E106" s="185"/>
      <c r="F106" s="185"/>
      <c r="G106" s="185"/>
      <c r="H106" s="185"/>
    </row>
    <row r="107" spans="1:8" ht="18.75">
      <c r="A107" s="135"/>
      <c r="B107" s="139" t="s">
        <v>237</v>
      </c>
      <c r="C107" s="160">
        <f>C33/(C33+C34+C35)</f>
        <v>0.67391304347826086</v>
      </c>
      <c r="D107" s="160">
        <f t="shared" ref="D107:F107" si="7">D33/(D33+D34+D35)</f>
        <v>0.6</v>
      </c>
      <c r="E107" s="160">
        <f t="shared" si="7"/>
        <v>0.62903225806451613</v>
      </c>
      <c r="F107" s="160" t="e">
        <f t="shared" si="7"/>
        <v>#DIV/0!</v>
      </c>
      <c r="G107" s="184" t="s">
        <v>28</v>
      </c>
      <c r="H107" s="184" t="s">
        <v>28</v>
      </c>
    </row>
    <row r="108" spans="1:8" ht="18.75">
      <c r="A108" s="135"/>
      <c r="B108" s="139" t="s">
        <v>93</v>
      </c>
      <c r="C108" s="160">
        <f>C36/ (C36+C37+C38+C39)</f>
        <v>0.39285714285714285</v>
      </c>
      <c r="D108" s="160">
        <f t="shared" ref="D108:F108" si="8">D36/ (D36+D37+D38+D39)</f>
        <v>0.41379310344827586</v>
      </c>
      <c r="E108" s="160">
        <f t="shared" si="8"/>
        <v>0.2982456140350877</v>
      </c>
      <c r="F108" s="160" t="e">
        <f t="shared" si="8"/>
        <v>#DIV/0!</v>
      </c>
      <c r="G108" s="184" t="s">
        <v>28</v>
      </c>
      <c r="H108" s="184" t="s">
        <v>28</v>
      </c>
    </row>
    <row r="109" spans="1:8" ht="18.75">
      <c r="A109" s="135"/>
      <c r="B109" s="139" t="s">
        <v>253</v>
      </c>
      <c r="C109" s="186"/>
      <c r="D109" s="186"/>
      <c r="E109" s="186"/>
      <c r="F109" s="186"/>
      <c r="G109" s="184" t="s">
        <v>28</v>
      </c>
      <c r="H109" s="186" t="s">
        <v>95</v>
      </c>
    </row>
    <row r="110" spans="1:8" ht="18.75">
      <c r="A110" s="135"/>
      <c r="B110" s="139" t="s">
        <v>254</v>
      </c>
      <c r="C110" s="186"/>
      <c r="D110" s="186"/>
      <c r="E110" s="186"/>
      <c r="F110" s="186"/>
      <c r="G110" s="184" t="s">
        <v>28</v>
      </c>
      <c r="H110" s="186" t="s">
        <v>95</v>
      </c>
    </row>
    <row r="111" spans="1:8" ht="18.75">
      <c r="A111" s="135"/>
      <c r="B111" s="139" t="s">
        <v>255</v>
      </c>
      <c r="C111" s="186"/>
      <c r="D111" s="186"/>
      <c r="E111" s="186"/>
      <c r="F111" s="186"/>
      <c r="G111" s="184" t="s">
        <v>28</v>
      </c>
      <c r="H111" s="186" t="s">
        <v>95</v>
      </c>
    </row>
    <row r="112" spans="1:8" ht="18.75">
      <c r="A112" s="135"/>
      <c r="B112" s="139" t="s">
        <v>98</v>
      </c>
      <c r="C112" s="160">
        <f>C47/C32</f>
        <v>0.34831460674157305</v>
      </c>
      <c r="D112" s="160">
        <f>D47/D32</f>
        <v>0.34782608695652173</v>
      </c>
      <c r="E112" s="160">
        <f>E47/E32</f>
        <v>0.34722222222222221</v>
      </c>
      <c r="F112" s="160" t="e">
        <f>F47/F32</f>
        <v>#DIV/0!</v>
      </c>
      <c r="G112" s="184" t="s">
        <v>28</v>
      </c>
      <c r="H112" s="184" t="s">
        <v>28</v>
      </c>
    </row>
    <row r="113" spans="1:8" ht="18.75">
      <c r="A113" s="135"/>
      <c r="B113" s="139" t="s">
        <v>99</v>
      </c>
      <c r="C113" s="160">
        <f>C48/C32</f>
        <v>0.5842696629213483</v>
      </c>
      <c r="D113" s="160">
        <f>D48/D32</f>
        <v>0.59130434782608698</v>
      </c>
      <c r="E113" s="160">
        <f>E48/E32</f>
        <v>0.65972222222222221</v>
      </c>
      <c r="F113" s="160" t="e">
        <f>F48/F32</f>
        <v>#DIV/0!</v>
      </c>
      <c r="G113" s="184" t="s">
        <v>28</v>
      </c>
      <c r="H113" s="184" t="s">
        <v>28</v>
      </c>
    </row>
    <row r="114" spans="1:8" ht="18.75">
      <c r="A114" s="156"/>
      <c r="B114" s="157" t="s">
        <v>331</v>
      </c>
      <c r="C114" s="185"/>
      <c r="D114" s="185"/>
      <c r="E114" s="185"/>
      <c r="F114" s="185"/>
      <c r="G114" s="185"/>
      <c r="H114" s="185"/>
    </row>
    <row r="115" spans="1:8" ht="18.75">
      <c r="A115" s="135"/>
      <c r="B115" s="139" t="s">
        <v>332</v>
      </c>
      <c r="C115" s="160">
        <f>C65/C31</f>
        <v>0</v>
      </c>
      <c r="D115" s="160">
        <f t="shared" ref="D115:F115" si="9">D65/D31</f>
        <v>5.8333333333333334E-2</v>
      </c>
      <c r="E115" s="160">
        <f t="shared" si="9"/>
        <v>5.844155844155844E-2</v>
      </c>
      <c r="F115" s="160" t="e">
        <f t="shared" si="9"/>
        <v>#DIV/0!</v>
      </c>
      <c r="G115" s="184" t="s">
        <v>28</v>
      </c>
      <c r="H115" s="184" t="s">
        <v>28</v>
      </c>
    </row>
    <row r="116" spans="1:8" ht="18.75">
      <c r="A116" s="135"/>
      <c r="B116" s="139" t="s">
        <v>100</v>
      </c>
      <c r="C116" s="160">
        <f>C81/C31</f>
        <v>0</v>
      </c>
      <c r="D116" s="160">
        <f t="shared" ref="D116:F116" si="10">D81/D31</f>
        <v>0</v>
      </c>
      <c r="E116" s="160">
        <f t="shared" si="10"/>
        <v>6.4935064935064939E-3</v>
      </c>
      <c r="F116" s="160" t="e">
        <f t="shared" si="10"/>
        <v>#DIV/0!</v>
      </c>
      <c r="G116" s="184" t="s">
        <v>28</v>
      </c>
      <c r="H116" s="184" t="s">
        <v>28</v>
      </c>
    </row>
    <row r="117" spans="1:8" ht="18.75">
      <c r="A117" s="135"/>
      <c r="B117" s="139" t="s">
        <v>318</v>
      </c>
      <c r="C117" s="160">
        <f>C97/C31</f>
        <v>2.1276595744680851E-2</v>
      </c>
      <c r="D117" s="160">
        <f t="shared" ref="D117:F117" si="11">D97/D31</f>
        <v>8.3333333333333332E-3</v>
      </c>
      <c r="E117" s="160">
        <f t="shared" si="11"/>
        <v>1.2987012987012988E-2</v>
      </c>
      <c r="F117" s="160" t="e">
        <f t="shared" si="11"/>
        <v>#DIV/0!</v>
      </c>
      <c r="G117" s="184" t="s">
        <v>28</v>
      </c>
      <c r="H117" s="184" t="s">
        <v>28</v>
      </c>
    </row>
    <row r="119" spans="1:8" ht="37.5">
      <c r="B119" s="161" t="s">
        <v>256</v>
      </c>
    </row>
  </sheetData>
  <mergeCells count="6">
    <mergeCell ref="A100:H100"/>
    <mergeCell ref="A1:B1"/>
    <mergeCell ref="A2:B2"/>
    <mergeCell ref="G2:H2"/>
    <mergeCell ref="A3:B3"/>
    <mergeCell ref="G3:H3"/>
  </mergeCells>
  <phoneticPr fontId="48"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119"/>
  <sheetViews>
    <sheetView topLeftCell="C27" workbookViewId="0">
      <selection activeCell="I31" sqref="I31"/>
    </sheetView>
  </sheetViews>
  <sheetFormatPr defaultColWidth="12.42578125" defaultRowHeight="15"/>
  <cols>
    <col min="1" max="1" width="10.5703125" style="1" customWidth="1"/>
    <col min="2" max="2" width="86.85546875" style="1" customWidth="1"/>
    <col min="3" max="8" width="17.85546875" style="16" customWidth="1"/>
    <col min="9" max="9" width="32.42578125" style="1" customWidth="1"/>
    <col min="10" max="16384" width="12.42578125" style="1"/>
  </cols>
  <sheetData>
    <row r="1" spans="1:9" ht="26.25" customHeight="1">
      <c r="A1" s="310" t="s">
        <v>199</v>
      </c>
      <c r="B1" s="310"/>
      <c r="C1" s="15" t="s">
        <v>2</v>
      </c>
      <c r="D1" s="15" t="s">
        <v>2</v>
      </c>
      <c r="E1" s="72" t="s">
        <v>2</v>
      </c>
      <c r="F1" s="13" t="s">
        <v>2</v>
      </c>
      <c r="G1" s="13" t="s">
        <v>2</v>
      </c>
      <c r="H1" s="14" t="s">
        <v>2</v>
      </c>
      <c r="I1" s="9" t="s">
        <v>2</v>
      </c>
    </row>
    <row r="2" spans="1:9" ht="23.25">
      <c r="A2" s="311" t="s">
        <v>346</v>
      </c>
      <c r="B2" s="312"/>
      <c r="C2" s="76"/>
      <c r="D2" s="77"/>
      <c r="E2" s="77"/>
      <c r="F2" s="133" t="s">
        <v>250</v>
      </c>
      <c r="G2" s="313" t="s">
        <v>382</v>
      </c>
      <c r="H2" s="313"/>
      <c r="I2" s="10"/>
    </row>
    <row r="3" spans="1:9" ht="18.75">
      <c r="A3" s="311" t="s">
        <v>359</v>
      </c>
      <c r="B3" s="312"/>
      <c r="C3" s="74"/>
      <c r="D3" s="73"/>
      <c r="E3" s="75"/>
      <c r="F3" s="133" t="s">
        <v>6</v>
      </c>
      <c r="G3" s="313" t="s">
        <v>381</v>
      </c>
      <c r="H3" s="313"/>
      <c r="I3"/>
    </row>
    <row r="5" spans="1:9" ht="21">
      <c r="A5" s="137"/>
      <c r="B5" s="152" t="s">
        <v>7</v>
      </c>
      <c r="C5" s="138" t="s">
        <v>8</v>
      </c>
      <c r="D5" s="138" t="s">
        <v>9</v>
      </c>
      <c r="E5" s="138" t="s">
        <v>10</v>
      </c>
      <c r="F5" s="138" t="s">
        <v>11</v>
      </c>
      <c r="G5" s="138" t="s">
        <v>12</v>
      </c>
      <c r="H5" s="138" t="s">
        <v>13</v>
      </c>
      <c r="I5" s="223" t="s">
        <v>357</v>
      </c>
    </row>
    <row r="6" spans="1:9" ht="18.75">
      <c r="A6" s="137"/>
      <c r="B6" s="137"/>
      <c r="C6" s="138" t="s">
        <v>347</v>
      </c>
      <c r="D6" s="138" t="s">
        <v>348</v>
      </c>
      <c r="E6" s="138" t="s">
        <v>349</v>
      </c>
      <c r="F6" s="138" t="s">
        <v>350</v>
      </c>
      <c r="G6" s="138"/>
      <c r="H6" s="138"/>
      <c r="I6" s="224"/>
    </row>
    <row r="7" spans="1:9" ht="74.25">
      <c r="A7" s="140"/>
      <c r="B7" s="140"/>
      <c r="C7" s="141" t="s">
        <v>14</v>
      </c>
      <c r="D7" s="141" t="s">
        <v>15</v>
      </c>
      <c r="E7" s="141" t="s">
        <v>15</v>
      </c>
      <c r="F7" s="141" t="s">
        <v>15</v>
      </c>
      <c r="G7" s="141"/>
      <c r="H7" s="142" t="s">
        <v>16</v>
      </c>
      <c r="I7" s="225" t="s">
        <v>378</v>
      </c>
    </row>
    <row r="8" spans="1:9" ht="18.75">
      <c r="A8" s="139" t="s">
        <v>17</v>
      </c>
      <c r="B8" s="139" t="s">
        <v>330</v>
      </c>
      <c r="C8" s="136">
        <v>50</v>
      </c>
      <c r="D8" s="136">
        <v>50</v>
      </c>
      <c r="E8" s="136"/>
      <c r="F8" s="136"/>
      <c r="G8" s="151">
        <f>C8+D8+E8+F8</f>
        <v>100</v>
      </c>
      <c r="H8" s="136"/>
      <c r="I8" s="229" t="str">
        <f>IF(E8="","",D8&lt;=E8)</f>
        <v/>
      </c>
    </row>
    <row r="9" spans="1:9" ht="18.75">
      <c r="A9" s="139" t="s">
        <v>18</v>
      </c>
      <c r="B9" s="139" t="s">
        <v>200</v>
      </c>
      <c r="C9" s="136">
        <v>13</v>
      </c>
      <c r="D9" s="136">
        <v>13</v>
      </c>
      <c r="E9" s="136"/>
      <c r="F9" s="136"/>
      <c r="G9" s="144" t="s">
        <v>28</v>
      </c>
      <c r="H9" s="136"/>
      <c r="I9" s="229"/>
    </row>
    <row r="10" spans="1:9" ht="18.75">
      <c r="A10" s="139" t="s">
        <v>19</v>
      </c>
      <c r="B10" s="139" t="s">
        <v>203</v>
      </c>
      <c r="C10" s="136">
        <v>0</v>
      </c>
      <c r="D10" s="136">
        <v>0</v>
      </c>
      <c r="E10" s="136">
        <f t="shared" ref="E10:F10" si="0">SUM(E11:E12)</f>
        <v>0</v>
      </c>
      <c r="F10" s="136">
        <f t="shared" si="0"/>
        <v>0</v>
      </c>
      <c r="G10" s="144" t="s">
        <v>28</v>
      </c>
      <c r="H10" s="136"/>
      <c r="I10"/>
    </row>
    <row r="11" spans="1:9" ht="18.75">
      <c r="A11" s="190" t="s">
        <v>21</v>
      </c>
      <c r="B11" s="191" t="s">
        <v>201</v>
      </c>
      <c r="C11" s="136">
        <v>0</v>
      </c>
      <c r="D11" s="136">
        <v>0</v>
      </c>
      <c r="E11" s="136"/>
      <c r="F11" s="136"/>
      <c r="G11" s="144" t="s">
        <v>28</v>
      </c>
      <c r="H11" s="136"/>
      <c r="I11"/>
    </row>
    <row r="12" spans="1:9" ht="18.75">
      <c r="A12" s="190" t="s">
        <v>23</v>
      </c>
      <c r="B12" s="191" t="s">
        <v>202</v>
      </c>
      <c r="C12" s="136">
        <v>0</v>
      </c>
      <c r="D12" s="136">
        <v>0</v>
      </c>
      <c r="E12" s="136"/>
      <c r="F12" s="136"/>
      <c r="G12" s="144" t="s">
        <v>28</v>
      </c>
      <c r="H12" s="136"/>
      <c r="I12"/>
    </row>
    <row r="13" spans="1:9" ht="19.5" customHeight="1">
      <c r="A13" s="139" t="s">
        <v>25</v>
      </c>
      <c r="B13" s="139" t="s">
        <v>294</v>
      </c>
      <c r="C13" s="136">
        <v>29</v>
      </c>
      <c r="D13" s="136">
        <v>18</v>
      </c>
      <c r="E13" s="136">
        <f t="shared" ref="E13:F13" si="1">SUM(E14:E19)</f>
        <v>0</v>
      </c>
      <c r="F13" s="136">
        <f t="shared" si="1"/>
        <v>0</v>
      </c>
      <c r="G13" s="151">
        <f t="shared" ref="G13:G18" si="2">C13+D13+E13+F13</f>
        <v>47</v>
      </c>
      <c r="H13" s="136"/>
      <c r="I13"/>
    </row>
    <row r="14" spans="1:9" ht="18.75">
      <c r="A14" s="139" t="s">
        <v>225</v>
      </c>
      <c r="B14" s="162" t="s">
        <v>231</v>
      </c>
      <c r="C14" s="136">
        <v>9</v>
      </c>
      <c r="D14" s="136">
        <v>6</v>
      </c>
      <c r="E14" s="136"/>
      <c r="F14" s="136"/>
      <c r="G14" s="151">
        <f t="shared" si="2"/>
        <v>15</v>
      </c>
      <c r="H14" s="136"/>
      <c r="I14"/>
    </row>
    <row r="15" spans="1:9" ht="18.75">
      <c r="A15" s="139" t="s">
        <v>226</v>
      </c>
      <c r="B15" s="162" t="s">
        <v>232</v>
      </c>
      <c r="C15" s="136">
        <v>12</v>
      </c>
      <c r="D15" s="136">
        <v>9</v>
      </c>
      <c r="E15" s="136"/>
      <c r="F15" s="136"/>
      <c r="G15" s="151">
        <f t="shared" si="2"/>
        <v>21</v>
      </c>
      <c r="H15" s="136"/>
      <c r="I15"/>
    </row>
    <row r="16" spans="1:9" ht="18.75">
      <c r="A16" s="139" t="s">
        <v>227</v>
      </c>
      <c r="B16" s="162" t="s">
        <v>233</v>
      </c>
      <c r="C16" s="136">
        <v>3</v>
      </c>
      <c r="D16" s="136">
        <v>3</v>
      </c>
      <c r="E16" s="136"/>
      <c r="F16" s="136"/>
      <c r="G16" s="151">
        <f t="shared" si="2"/>
        <v>6</v>
      </c>
      <c r="H16" s="136"/>
      <c r="I16"/>
    </row>
    <row r="17" spans="1:9" ht="18.75">
      <c r="A17" s="139" t="s">
        <v>228</v>
      </c>
      <c r="B17" s="162" t="s">
        <v>234</v>
      </c>
      <c r="C17" s="136">
        <v>0</v>
      </c>
      <c r="D17" s="136">
        <v>0</v>
      </c>
      <c r="E17" s="136"/>
      <c r="F17" s="136"/>
      <c r="G17" s="151">
        <f t="shared" si="2"/>
        <v>0</v>
      </c>
      <c r="H17" s="136"/>
      <c r="I17"/>
    </row>
    <row r="18" spans="1:9" ht="18.75">
      <c r="A18" s="139" t="s">
        <v>229</v>
      </c>
      <c r="B18" s="162" t="s">
        <v>235</v>
      </c>
      <c r="C18" s="136">
        <v>5</v>
      </c>
      <c r="D18" s="136">
        <v>0</v>
      </c>
      <c r="E18" s="136"/>
      <c r="F18" s="136"/>
      <c r="G18" s="151">
        <f t="shared" si="2"/>
        <v>5</v>
      </c>
      <c r="H18" s="136"/>
      <c r="I18"/>
    </row>
    <row r="19" spans="1:9" ht="18.75">
      <c r="A19" s="139" t="s">
        <v>230</v>
      </c>
      <c r="B19" s="162" t="s">
        <v>224</v>
      </c>
      <c r="C19" s="136"/>
      <c r="D19" s="136"/>
      <c r="E19" s="136"/>
      <c r="F19" s="136"/>
      <c r="G19" s="151">
        <f>C19+D19+E19+F19</f>
        <v>0</v>
      </c>
      <c r="H19" s="136"/>
      <c r="I19"/>
    </row>
    <row r="20" spans="1:9" ht="18.75">
      <c r="A20" s="139" t="s">
        <v>26</v>
      </c>
      <c r="B20" s="139" t="s">
        <v>319</v>
      </c>
      <c r="C20" s="136">
        <v>13</v>
      </c>
      <c r="D20" s="136">
        <v>13</v>
      </c>
      <c r="E20" s="136"/>
      <c r="F20" s="136"/>
      <c r="G20" s="144" t="s">
        <v>28</v>
      </c>
      <c r="H20" s="136"/>
      <c r="I20" s="229" t="str">
        <f>IF(E20="","",E20&lt;=E9)</f>
        <v/>
      </c>
    </row>
    <row r="21" spans="1:9" ht="18.75">
      <c r="A21" s="139" t="s">
        <v>29</v>
      </c>
      <c r="B21" s="139" t="s">
        <v>292</v>
      </c>
      <c r="C21" s="136">
        <v>0</v>
      </c>
      <c r="D21" s="136">
        <v>0</v>
      </c>
      <c r="E21" s="136">
        <f t="shared" ref="E21:F21" si="3">SUM(E22:E25)</f>
        <v>0</v>
      </c>
      <c r="F21" s="136">
        <f t="shared" si="3"/>
        <v>0</v>
      </c>
      <c r="G21" s="151">
        <f t="shared" ref="G21:G26" si="4">C21+D21+E21+F21</f>
        <v>0</v>
      </c>
      <c r="H21" s="136"/>
      <c r="I21"/>
    </row>
    <row r="22" spans="1:9" ht="18.75">
      <c r="A22" s="190" t="s">
        <v>320</v>
      </c>
      <c r="B22" s="216" t="s">
        <v>324</v>
      </c>
      <c r="C22" s="136">
        <v>0</v>
      </c>
      <c r="D22" s="136">
        <v>0</v>
      </c>
      <c r="E22" s="136"/>
      <c r="F22" s="136"/>
      <c r="G22" s="151"/>
      <c r="H22" s="136"/>
      <c r="I22"/>
    </row>
    <row r="23" spans="1:9" ht="18.75">
      <c r="A23" s="190" t="s">
        <v>321</v>
      </c>
      <c r="B23" s="216" t="s">
        <v>325</v>
      </c>
      <c r="C23" s="136">
        <v>0</v>
      </c>
      <c r="D23" s="136">
        <v>0</v>
      </c>
      <c r="E23" s="136"/>
      <c r="F23" s="136"/>
      <c r="G23" s="151"/>
      <c r="H23" s="136"/>
      <c r="I23"/>
    </row>
    <row r="24" spans="1:9" ht="18.75">
      <c r="A24" s="190" t="s">
        <v>322</v>
      </c>
      <c r="B24" s="216" t="s">
        <v>326</v>
      </c>
      <c r="C24" s="136">
        <v>0</v>
      </c>
      <c r="D24" s="136">
        <v>0</v>
      </c>
      <c r="E24" s="136"/>
      <c r="F24" s="136"/>
      <c r="G24" s="151"/>
      <c r="H24" s="136"/>
      <c r="I24"/>
    </row>
    <row r="25" spans="1:9" ht="18.75">
      <c r="A25" s="190" t="s">
        <v>323</v>
      </c>
      <c r="B25" s="216" t="s">
        <v>327</v>
      </c>
      <c r="C25" s="136">
        <v>0</v>
      </c>
      <c r="D25" s="136">
        <v>0</v>
      </c>
      <c r="E25" s="136"/>
      <c r="F25" s="136"/>
      <c r="G25" s="151"/>
      <c r="H25" s="136"/>
      <c r="I25"/>
    </row>
    <row r="26" spans="1:9" ht="18.75">
      <c r="A26" s="139" t="s">
        <v>223</v>
      </c>
      <c r="B26" s="139" t="s">
        <v>291</v>
      </c>
      <c r="C26" s="136">
        <v>0</v>
      </c>
      <c r="D26" s="136">
        <v>0</v>
      </c>
      <c r="E26" s="136"/>
      <c r="F26" s="136"/>
      <c r="G26" s="151">
        <f t="shared" si="4"/>
        <v>0</v>
      </c>
      <c r="H26" s="136"/>
      <c r="I26"/>
    </row>
    <row r="27" spans="1:9" ht="15.75">
      <c r="B27" s="150"/>
      <c r="I27"/>
    </row>
    <row r="28" spans="1:9" s="143" customFormat="1" ht="21">
      <c r="A28" s="137"/>
      <c r="B28" s="152" t="s">
        <v>31</v>
      </c>
      <c r="C28" s="138" t="s">
        <v>8</v>
      </c>
      <c r="D28" s="138" t="s">
        <v>9</v>
      </c>
      <c r="E28" s="138" t="s">
        <v>10</v>
      </c>
      <c r="F28" s="138" t="s">
        <v>11</v>
      </c>
      <c r="G28" s="138" t="s">
        <v>12</v>
      </c>
      <c r="H28" s="138" t="s">
        <v>13</v>
      </c>
      <c r="I28" s="223" t="s">
        <v>357</v>
      </c>
    </row>
    <row r="29" spans="1:9" s="143" customFormat="1" ht="18.75">
      <c r="A29" s="137"/>
      <c r="B29" s="137"/>
      <c r="C29" s="138" t="s">
        <v>347</v>
      </c>
      <c r="D29" s="138" t="s">
        <v>348</v>
      </c>
      <c r="E29" s="138" t="s">
        <v>349</v>
      </c>
      <c r="F29" s="138" t="s">
        <v>350</v>
      </c>
      <c r="G29" s="138"/>
      <c r="H29" s="138"/>
      <c r="I29" s="224"/>
    </row>
    <row r="30" spans="1:9" ht="74.25">
      <c r="A30" s="145"/>
      <c r="B30" s="145"/>
      <c r="C30" s="141" t="s">
        <v>14</v>
      </c>
      <c r="D30" s="141" t="s">
        <v>15</v>
      </c>
      <c r="E30" s="141" t="s">
        <v>15</v>
      </c>
      <c r="F30" s="141" t="s">
        <v>15</v>
      </c>
      <c r="G30" s="146">
        <v>0</v>
      </c>
      <c r="H30" s="147" t="s">
        <v>16</v>
      </c>
      <c r="I30" s="225" t="s">
        <v>378</v>
      </c>
    </row>
    <row r="31" spans="1:9" ht="19.5" thickBot="1">
      <c r="A31" s="148" t="s">
        <v>32</v>
      </c>
      <c r="B31" s="148" t="s">
        <v>33</v>
      </c>
      <c r="C31" s="149">
        <v>113</v>
      </c>
      <c r="D31" s="149">
        <v>129</v>
      </c>
      <c r="E31" s="149">
        <v>184</v>
      </c>
      <c r="F31" s="149"/>
      <c r="G31" s="164" t="s">
        <v>28</v>
      </c>
      <c r="H31" s="149"/>
      <c r="I31" s="229" t="b">
        <f>IF(E31="","",E31=D31+E50)</f>
        <v>0</v>
      </c>
    </row>
    <row r="32" spans="1:9" ht="18.75">
      <c r="A32" s="167" t="s">
        <v>34</v>
      </c>
      <c r="B32" s="168" t="s">
        <v>35</v>
      </c>
      <c r="C32" s="169">
        <v>108</v>
      </c>
      <c r="D32" s="169">
        <v>113</v>
      </c>
      <c r="E32" s="169">
        <v>170</v>
      </c>
      <c r="F32" s="169"/>
      <c r="G32" s="181" t="s">
        <v>28</v>
      </c>
      <c r="H32" s="171"/>
      <c r="I32" s="229" t="b">
        <f>IF(E32="","",E32&gt;=(D32+E50-E65-E81-E96))</f>
        <v>1</v>
      </c>
    </row>
    <row r="33" spans="1:8" ht="18.75">
      <c r="A33" s="182" t="s">
        <v>36</v>
      </c>
      <c r="B33" s="163" t="s">
        <v>37</v>
      </c>
      <c r="C33" s="136">
        <v>30</v>
      </c>
      <c r="D33" s="136">
        <v>34</v>
      </c>
      <c r="E33" s="136">
        <v>43</v>
      </c>
      <c r="F33" s="136"/>
      <c r="G33" s="144" t="s">
        <v>28</v>
      </c>
      <c r="H33" s="172"/>
    </row>
    <row r="34" spans="1:8" ht="18.75">
      <c r="A34" s="182" t="s">
        <v>38</v>
      </c>
      <c r="B34" s="163" t="s">
        <v>39</v>
      </c>
      <c r="C34" s="136">
        <v>46</v>
      </c>
      <c r="D34" s="136">
        <v>45</v>
      </c>
      <c r="E34" s="136">
        <v>61</v>
      </c>
      <c r="F34" s="136"/>
      <c r="G34" s="144" t="s">
        <v>28</v>
      </c>
      <c r="H34" s="172"/>
    </row>
    <row r="35" spans="1:8" ht="18.75">
      <c r="A35" s="182" t="s">
        <v>40</v>
      </c>
      <c r="B35" s="163" t="s">
        <v>243</v>
      </c>
      <c r="C35" s="136">
        <v>0</v>
      </c>
      <c r="D35" s="136">
        <v>1</v>
      </c>
      <c r="E35" s="136">
        <v>1</v>
      </c>
      <c r="F35" s="136"/>
      <c r="G35" s="144"/>
      <c r="H35" s="172"/>
    </row>
    <row r="36" spans="1:8" ht="18.75">
      <c r="A36" s="182" t="s">
        <v>42</v>
      </c>
      <c r="B36" s="163" t="s">
        <v>41</v>
      </c>
      <c r="C36" s="136">
        <v>24</v>
      </c>
      <c r="D36" s="136">
        <v>30</v>
      </c>
      <c r="E36" s="136">
        <v>53</v>
      </c>
      <c r="F36" s="136"/>
      <c r="G36" s="144" t="s">
        <v>28</v>
      </c>
      <c r="H36" s="172"/>
    </row>
    <row r="37" spans="1:8" ht="18.75">
      <c r="A37" s="182" t="s">
        <v>44</v>
      </c>
      <c r="B37" s="163" t="s">
        <v>245</v>
      </c>
      <c r="C37" s="136">
        <v>0</v>
      </c>
      <c r="D37" s="136">
        <v>0</v>
      </c>
      <c r="E37" s="136">
        <v>0</v>
      </c>
      <c r="F37" s="136"/>
      <c r="G37" s="144"/>
      <c r="H37" s="172"/>
    </row>
    <row r="38" spans="1:8" ht="18.75">
      <c r="A38" s="182" t="s">
        <v>46</v>
      </c>
      <c r="B38" s="163" t="s">
        <v>252</v>
      </c>
      <c r="C38" s="136">
        <v>3</v>
      </c>
      <c r="D38" s="136">
        <v>4</v>
      </c>
      <c r="E38" s="136">
        <v>5</v>
      </c>
      <c r="F38" s="136"/>
      <c r="G38" s="144"/>
      <c r="H38" s="172"/>
    </row>
    <row r="39" spans="1:8" ht="18.75">
      <c r="A39" s="182" t="s">
        <v>48</v>
      </c>
      <c r="B39" s="163" t="s">
        <v>244</v>
      </c>
      <c r="C39" s="136">
        <v>0</v>
      </c>
      <c r="D39" s="136">
        <v>0</v>
      </c>
      <c r="E39" s="136">
        <v>0</v>
      </c>
      <c r="F39" s="136"/>
      <c r="G39" s="144" t="s">
        <v>28</v>
      </c>
      <c r="H39" s="172"/>
    </row>
    <row r="40" spans="1:8" ht="18.75">
      <c r="A40" s="182" t="s">
        <v>50</v>
      </c>
      <c r="B40" s="163" t="s">
        <v>45</v>
      </c>
      <c r="C40" s="136">
        <v>0</v>
      </c>
      <c r="D40" s="136">
        <v>0</v>
      </c>
      <c r="E40" s="136">
        <v>0</v>
      </c>
      <c r="F40" s="136"/>
      <c r="G40" s="144" t="s">
        <v>28</v>
      </c>
      <c r="H40" s="172"/>
    </row>
    <row r="41" spans="1:8" ht="18.75">
      <c r="A41" s="182" t="s">
        <v>52</v>
      </c>
      <c r="B41" s="163" t="s">
        <v>49</v>
      </c>
      <c r="C41" s="136">
        <v>0</v>
      </c>
      <c r="D41" s="136">
        <v>2</v>
      </c>
      <c r="E41" s="136">
        <v>4</v>
      </c>
      <c r="F41" s="136"/>
      <c r="G41" s="144" t="s">
        <v>28</v>
      </c>
      <c r="H41" s="172"/>
    </row>
    <row r="42" spans="1:8" ht="18.75">
      <c r="A42" s="182" t="s">
        <v>205</v>
      </c>
      <c r="B42" s="163" t="s">
        <v>51</v>
      </c>
      <c r="C42" s="136">
        <v>0</v>
      </c>
      <c r="D42" s="136">
        <v>0</v>
      </c>
      <c r="E42" s="136">
        <v>0</v>
      </c>
      <c r="F42" s="136"/>
      <c r="G42" s="144" t="s">
        <v>28</v>
      </c>
      <c r="H42" s="172"/>
    </row>
    <row r="43" spans="1:8" ht="18.75">
      <c r="A43" s="182" t="s">
        <v>208</v>
      </c>
      <c r="B43" s="163" t="s">
        <v>206</v>
      </c>
      <c r="C43" s="136">
        <v>0</v>
      </c>
      <c r="D43" s="136">
        <v>0</v>
      </c>
      <c r="E43" s="136">
        <v>0</v>
      </c>
      <c r="F43" s="136"/>
      <c r="G43" s="144" t="s">
        <v>28</v>
      </c>
      <c r="H43" s="172"/>
    </row>
    <row r="44" spans="1:8" ht="18.75">
      <c r="A44" s="182" t="s">
        <v>246</v>
      </c>
      <c r="B44" s="163" t="s">
        <v>207</v>
      </c>
      <c r="C44" s="136">
        <v>0</v>
      </c>
      <c r="D44" s="136">
        <v>0</v>
      </c>
      <c r="E44" s="136">
        <v>0</v>
      </c>
      <c r="F44" s="136"/>
      <c r="G44" s="144" t="s">
        <v>28</v>
      </c>
      <c r="H44" s="172"/>
    </row>
    <row r="45" spans="1:8" ht="18.75">
      <c r="A45" s="182" t="s">
        <v>247</v>
      </c>
      <c r="B45" s="217" t="s">
        <v>351</v>
      </c>
      <c r="C45" s="149">
        <v>0</v>
      </c>
      <c r="D45" s="149">
        <v>0</v>
      </c>
      <c r="E45" s="149">
        <v>0</v>
      </c>
      <c r="F45" s="149"/>
      <c r="G45" s="164"/>
      <c r="H45" s="214"/>
    </row>
    <row r="46" spans="1:8" ht="19.5" thickBot="1">
      <c r="A46" s="182" t="s">
        <v>333</v>
      </c>
      <c r="B46" s="218" t="s">
        <v>53</v>
      </c>
      <c r="C46" s="173">
        <v>0</v>
      </c>
      <c r="D46" s="173">
        <v>0</v>
      </c>
      <c r="E46" s="173">
        <v>0</v>
      </c>
      <c r="F46" s="173"/>
      <c r="G46" s="174" t="s">
        <v>28</v>
      </c>
      <c r="H46" s="175"/>
    </row>
    <row r="47" spans="1:8" ht="18.75">
      <c r="A47" s="165" t="s">
        <v>54</v>
      </c>
      <c r="B47" s="165" t="s">
        <v>55</v>
      </c>
      <c r="C47" s="166">
        <v>17</v>
      </c>
      <c r="D47" s="166">
        <v>23</v>
      </c>
      <c r="E47" s="166">
        <v>39</v>
      </c>
      <c r="F47" s="166"/>
      <c r="G47" s="176" t="s">
        <v>28</v>
      </c>
      <c r="H47" s="171"/>
    </row>
    <row r="48" spans="1:8" ht="18.75">
      <c r="A48" s="139" t="s">
        <v>56</v>
      </c>
      <c r="B48" s="139" t="s">
        <v>57</v>
      </c>
      <c r="C48" s="136">
        <v>46</v>
      </c>
      <c r="D48" s="136">
        <v>59</v>
      </c>
      <c r="E48" s="136">
        <v>85</v>
      </c>
      <c r="F48" s="136"/>
      <c r="G48" s="144" t="s">
        <v>28</v>
      </c>
      <c r="H48" s="172"/>
    </row>
    <row r="49" spans="1:8" ht="19.5" thickBot="1">
      <c r="A49" s="148" t="s">
        <v>59</v>
      </c>
      <c r="B49" s="148" t="s">
        <v>288</v>
      </c>
      <c r="C49" s="149">
        <v>89</v>
      </c>
      <c r="D49" s="149">
        <v>113</v>
      </c>
      <c r="E49" s="149">
        <v>169</v>
      </c>
      <c r="F49" s="149"/>
      <c r="G49" s="164" t="s">
        <v>28</v>
      </c>
      <c r="H49" s="175"/>
    </row>
    <row r="50" spans="1:8" ht="18.75">
      <c r="A50" s="167" t="s">
        <v>61</v>
      </c>
      <c r="B50" s="168" t="s">
        <v>290</v>
      </c>
      <c r="C50" s="169">
        <v>66</v>
      </c>
      <c r="D50" s="169">
        <v>40</v>
      </c>
      <c r="E50" s="169">
        <v>62</v>
      </c>
      <c r="F50" s="169"/>
      <c r="G50" s="170">
        <f>C50+D50+E50+F50</f>
        <v>168</v>
      </c>
      <c r="H50" s="171"/>
    </row>
    <row r="51" spans="1:8" ht="18.75">
      <c r="A51" s="182" t="s">
        <v>209</v>
      </c>
      <c r="B51" s="163" t="s">
        <v>37</v>
      </c>
      <c r="C51" s="136">
        <v>13</v>
      </c>
      <c r="D51" s="136">
        <v>9</v>
      </c>
      <c r="E51" s="136">
        <v>9</v>
      </c>
      <c r="F51" s="136"/>
      <c r="G51" s="151">
        <f t="shared" ref="G51:G79" si="5">C51+D51+E51+F51</f>
        <v>31</v>
      </c>
      <c r="H51" s="172"/>
    </row>
    <row r="52" spans="1:8" ht="18.75">
      <c r="A52" s="182" t="s">
        <v>210</v>
      </c>
      <c r="B52" s="163" t="s">
        <v>39</v>
      </c>
      <c r="C52" s="136">
        <v>33</v>
      </c>
      <c r="D52" s="136">
        <v>12</v>
      </c>
      <c r="E52" s="136">
        <v>26</v>
      </c>
      <c r="F52" s="136"/>
      <c r="G52" s="151">
        <f t="shared" si="5"/>
        <v>71</v>
      </c>
      <c r="H52" s="172"/>
    </row>
    <row r="53" spans="1:8" ht="18.75">
      <c r="A53" s="182" t="s">
        <v>211</v>
      </c>
      <c r="B53" s="163" t="s">
        <v>243</v>
      </c>
      <c r="C53" s="136">
        <v>0</v>
      </c>
      <c r="D53" s="136">
        <v>1</v>
      </c>
      <c r="E53" s="136">
        <v>0</v>
      </c>
      <c r="F53" s="136"/>
      <c r="G53" s="151">
        <f t="shared" si="5"/>
        <v>1</v>
      </c>
      <c r="H53" s="172"/>
    </row>
    <row r="54" spans="1:8" ht="18.75">
      <c r="A54" s="182" t="s">
        <v>212</v>
      </c>
      <c r="B54" s="163" t="s">
        <v>41</v>
      </c>
      <c r="C54" s="136">
        <v>17</v>
      </c>
      <c r="D54" s="136">
        <v>14</v>
      </c>
      <c r="E54" s="136">
        <v>24</v>
      </c>
      <c r="F54" s="136"/>
      <c r="G54" s="151">
        <f t="shared" si="5"/>
        <v>55</v>
      </c>
      <c r="H54" s="172"/>
    </row>
    <row r="55" spans="1:8" ht="18.75">
      <c r="A55" s="182" t="s">
        <v>213</v>
      </c>
      <c r="B55" s="163" t="s">
        <v>245</v>
      </c>
      <c r="C55" s="136">
        <v>0</v>
      </c>
      <c r="D55" s="136">
        <v>0</v>
      </c>
      <c r="E55" s="136">
        <v>0</v>
      </c>
      <c r="F55" s="136"/>
      <c r="G55" s="151">
        <f t="shared" si="5"/>
        <v>0</v>
      </c>
      <c r="H55" s="172"/>
    </row>
    <row r="56" spans="1:8" ht="18.75">
      <c r="A56" s="182" t="s">
        <v>214</v>
      </c>
      <c r="B56" s="163" t="s">
        <v>252</v>
      </c>
      <c r="C56" s="136">
        <v>2</v>
      </c>
      <c r="D56" s="136">
        <v>3</v>
      </c>
      <c r="E56" s="136">
        <v>1</v>
      </c>
      <c r="F56" s="136"/>
      <c r="G56" s="151">
        <f t="shared" si="5"/>
        <v>6</v>
      </c>
      <c r="H56" s="172"/>
    </row>
    <row r="57" spans="1:8" ht="18.75">
      <c r="A57" s="182" t="s">
        <v>215</v>
      </c>
      <c r="B57" s="163" t="s">
        <v>244</v>
      </c>
      <c r="C57" s="136">
        <v>0</v>
      </c>
      <c r="D57" s="136">
        <v>0</v>
      </c>
      <c r="E57" s="136">
        <v>0</v>
      </c>
      <c r="F57" s="136"/>
      <c r="G57" s="151">
        <f t="shared" si="5"/>
        <v>0</v>
      </c>
      <c r="H57" s="172"/>
    </row>
    <row r="58" spans="1:8" ht="18.75">
      <c r="A58" s="182" t="s">
        <v>216</v>
      </c>
      <c r="B58" s="163" t="s">
        <v>45</v>
      </c>
      <c r="C58" s="136">
        <v>0</v>
      </c>
      <c r="D58" s="136">
        <v>0</v>
      </c>
      <c r="E58" s="136">
        <v>0</v>
      </c>
      <c r="F58" s="136"/>
      <c r="G58" s="151">
        <f t="shared" si="5"/>
        <v>0</v>
      </c>
      <c r="H58" s="172"/>
    </row>
    <row r="59" spans="1:8" ht="18.75">
      <c r="A59" s="182" t="s">
        <v>217</v>
      </c>
      <c r="B59" s="163" t="s">
        <v>49</v>
      </c>
      <c r="C59" s="136">
        <v>1</v>
      </c>
      <c r="D59" s="136">
        <v>1</v>
      </c>
      <c r="E59" s="136">
        <v>2</v>
      </c>
      <c r="F59" s="136"/>
      <c r="G59" s="151">
        <f t="shared" si="5"/>
        <v>4</v>
      </c>
      <c r="H59" s="172"/>
    </row>
    <row r="60" spans="1:8" ht="18.75">
      <c r="A60" s="182" t="s">
        <v>218</v>
      </c>
      <c r="B60" s="163" t="s">
        <v>51</v>
      </c>
      <c r="C60" s="136">
        <v>0</v>
      </c>
      <c r="D60" s="136">
        <v>0</v>
      </c>
      <c r="E60" s="136">
        <v>0</v>
      </c>
      <c r="F60" s="136"/>
      <c r="G60" s="151">
        <f t="shared" si="5"/>
        <v>0</v>
      </c>
      <c r="H60" s="172"/>
    </row>
    <row r="61" spans="1:8" ht="18.75">
      <c r="A61" s="182" t="s">
        <v>219</v>
      </c>
      <c r="B61" s="163" t="s">
        <v>206</v>
      </c>
      <c r="C61" s="136">
        <v>0</v>
      </c>
      <c r="D61" s="136">
        <v>0</v>
      </c>
      <c r="E61" s="136">
        <v>0</v>
      </c>
      <c r="F61" s="136"/>
      <c r="G61" s="151">
        <f t="shared" si="5"/>
        <v>0</v>
      </c>
      <c r="H61" s="172"/>
    </row>
    <row r="62" spans="1:8" ht="18.75">
      <c r="A62" s="182" t="s">
        <v>248</v>
      </c>
      <c r="B62" s="163" t="s">
        <v>207</v>
      </c>
      <c r="C62" s="136">
        <v>0</v>
      </c>
      <c r="D62" s="136">
        <v>0</v>
      </c>
      <c r="E62" s="136">
        <v>0</v>
      </c>
      <c r="F62" s="136"/>
      <c r="G62" s="151">
        <f t="shared" si="5"/>
        <v>0</v>
      </c>
      <c r="H62" s="172"/>
    </row>
    <row r="63" spans="1:8" ht="18.75">
      <c r="A63" s="182" t="s">
        <v>249</v>
      </c>
      <c r="B63" s="217" t="s">
        <v>334</v>
      </c>
      <c r="C63" s="149">
        <v>0</v>
      </c>
      <c r="D63" s="149">
        <v>0</v>
      </c>
      <c r="E63" s="149">
        <v>0</v>
      </c>
      <c r="F63" s="149"/>
      <c r="G63" s="215">
        <f t="shared" si="5"/>
        <v>0</v>
      </c>
      <c r="H63" s="214"/>
    </row>
    <row r="64" spans="1:8" ht="19.5" thickBot="1">
      <c r="A64" s="182" t="s">
        <v>335</v>
      </c>
      <c r="B64" s="218" t="s">
        <v>53</v>
      </c>
      <c r="C64" s="173">
        <v>0</v>
      </c>
      <c r="D64" s="173">
        <v>0</v>
      </c>
      <c r="E64" s="173">
        <v>0</v>
      </c>
      <c r="F64" s="173"/>
      <c r="G64" s="177">
        <f t="shared" si="5"/>
        <v>0</v>
      </c>
      <c r="H64" s="175"/>
    </row>
    <row r="65" spans="1:8" ht="18.75">
      <c r="A65" s="167" t="s">
        <v>62</v>
      </c>
      <c r="B65" s="168" t="s">
        <v>289</v>
      </c>
      <c r="C65" s="169">
        <v>4</v>
      </c>
      <c r="D65" s="169">
        <v>3</v>
      </c>
      <c r="E65" s="169">
        <v>1</v>
      </c>
      <c r="F65" s="169"/>
      <c r="G65" s="170">
        <f t="shared" si="5"/>
        <v>8</v>
      </c>
      <c r="H65" s="171"/>
    </row>
    <row r="66" spans="1:8" ht="18.75">
      <c r="A66" s="182" t="s">
        <v>63</v>
      </c>
      <c r="B66" s="162" t="s">
        <v>37</v>
      </c>
      <c r="C66" s="136">
        <v>0</v>
      </c>
      <c r="D66" s="136">
        <v>1</v>
      </c>
      <c r="E66" s="136">
        <v>1</v>
      </c>
      <c r="F66" s="136"/>
      <c r="G66" s="151">
        <f t="shared" si="5"/>
        <v>2</v>
      </c>
      <c r="H66" s="172"/>
    </row>
    <row r="67" spans="1:8" ht="18.75">
      <c r="A67" s="182" t="s">
        <v>64</v>
      </c>
      <c r="B67" s="162" t="s">
        <v>39</v>
      </c>
      <c r="C67" s="136">
        <v>2</v>
      </c>
      <c r="D67" s="136">
        <v>0</v>
      </c>
      <c r="E67" s="136">
        <v>0</v>
      </c>
      <c r="F67" s="136"/>
      <c r="G67" s="151">
        <f t="shared" si="5"/>
        <v>2</v>
      </c>
      <c r="H67" s="172"/>
    </row>
    <row r="68" spans="1:8" ht="18.75">
      <c r="A68" s="182" t="s">
        <v>65</v>
      </c>
      <c r="B68" s="162" t="s">
        <v>243</v>
      </c>
      <c r="C68" s="136">
        <v>1</v>
      </c>
      <c r="D68" s="136">
        <v>0</v>
      </c>
      <c r="E68" s="136">
        <v>0</v>
      </c>
      <c r="F68" s="136"/>
      <c r="G68" s="151">
        <f t="shared" si="5"/>
        <v>1</v>
      </c>
      <c r="H68" s="172"/>
    </row>
    <row r="69" spans="1:8" ht="18.75">
      <c r="A69" s="182" t="s">
        <v>66</v>
      </c>
      <c r="B69" s="162" t="s">
        <v>41</v>
      </c>
      <c r="C69" s="136">
        <v>0</v>
      </c>
      <c r="D69" s="136">
        <v>1</v>
      </c>
      <c r="E69" s="136">
        <v>0</v>
      </c>
      <c r="F69" s="136"/>
      <c r="G69" s="151">
        <f t="shared" si="5"/>
        <v>1</v>
      </c>
      <c r="H69" s="172"/>
    </row>
    <row r="70" spans="1:8" ht="18.75">
      <c r="A70" s="182" t="s">
        <v>67</v>
      </c>
      <c r="B70" s="162" t="s">
        <v>245</v>
      </c>
      <c r="C70" s="136">
        <v>0</v>
      </c>
      <c r="D70" s="136">
        <v>0</v>
      </c>
      <c r="E70" s="136">
        <v>0</v>
      </c>
      <c r="F70" s="136"/>
      <c r="G70" s="151">
        <f t="shared" si="5"/>
        <v>0</v>
      </c>
      <c r="H70" s="172"/>
    </row>
    <row r="71" spans="1:8" ht="18.75">
      <c r="A71" s="182" t="s">
        <v>68</v>
      </c>
      <c r="B71" s="162" t="s">
        <v>252</v>
      </c>
      <c r="C71" s="136">
        <v>0</v>
      </c>
      <c r="D71" s="136">
        <v>0</v>
      </c>
      <c r="E71" s="136">
        <v>0</v>
      </c>
      <c r="F71" s="136"/>
      <c r="G71" s="151">
        <f t="shared" si="5"/>
        <v>0</v>
      </c>
      <c r="H71" s="172"/>
    </row>
    <row r="72" spans="1:8" ht="18.75">
      <c r="A72" s="182" t="s">
        <v>69</v>
      </c>
      <c r="B72" s="162" t="s">
        <v>244</v>
      </c>
      <c r="C72" s="136">
        <v>0</v>
      </c>
      <c r="D72" s="136">
        <v>0</v>
      </c>
      <c r="E72" s="136">
        <v>0</v>
      </c>
      <c r="F72" s="136"/>
      <c r="G72" s="151">
        <f t="shared" si="5"/>
        <v>0</v>
      </c>
      <c r="H72" s="172"/>
    </row>
    <row r="73" spans="1:8" ht="18.75">
      <c r="A73" s="182" t="s">
        <v>70</v>
      </c>
      <c r="B73" s="162" t="s">
        <v>45</v>
      </c>
      <c r="C73" s="136">
        <v>0</v>
      </c>
      <c r="D73" s="136">
        <v>0</v>
      </c>
      <c r="E73" s="136">
        <v>0</v>
      </c>
      <c r="F73" s="136"/>
      <c r="G73" s="151">
        <f t="shared" si="5"/>
        <v>0</v>
      </c>
      <c r="H73" s="172"/>
    </row>
    <row r="74" spans="1:8" ht="18.75">
      <c r="A74" s="182" t="s">
        <v>71</v>
      </c>
      <c r="B74" s="162" t="s">
        <v>49</v>
      </c>
      <c r="C74" s="136">
        <v>1</v>
      </c>
      <c r="D74" s="136">
        <v>1</v>
      </c>
      <c r="E74" s="136">
        <v>0</v>
      </c>
      <c r="F74" s="136"/>
      <c r="G74" s="151">
        <f t="shared" si="5"/>
        <v>2</v>
      </c>
      <c r="H74" s="172"/>
    </row>
    <row r="75" spans="1:8" ht="18.75">
      <c r="A75" s="182" t="s">
        <v>261</v>
      </c>
      <c r="B75" s="162" t="s">
        <v>51</v>
      </c>
      <c r="C75" s="136">
        <v>0</v>
      </c>
      <c r="D75" s="136">
        <v>0</v>
      </c>
      <c r="E75" s="136">
        <v>0</v>
      </c>
      <c r="F75" s="136"/>
      <c r="G75" s="151">
        <f t="shared" si="5"/>
        <v>0</v>
      </c>
      <c r="H75" s="172"/>
    </row>
    <row r="76" spans="1:8" ht="18.75">
      <c r="A76" s="182" t="s">
        <v>262</v>
      </c>
      <c r="B76" s="162" t="s">
        <v>206</v>
      </c>
      <c r="C76" s="136">
        <v>0</v>
      </c>
      <c r="D76" s="136">
        <v>0</v>
      </c>
      <c r="E76" s="136">
        <v>0</v>
      </c>
      <c r="F76" s="136"/>
      <c r="G76" s="151">
        <f t="shared" si="5"/>
        <v>0</v>
      </c>
      <c r="H76" s="172"/>
    </row>
    <row r="77" spans="1:8" ht="18.75">
      <c r="A77" s="182" t="s">
        <v>263</v>
      </c>
      <c r="B77" s="162" t="s">
        <v>207</v>
      </c>
      <c r="C77" s="136">
        <v>0</v>
      </c>
      <c r="D77" s="136">
        <v>0</v>
      </c>
      <c r="E77" s="136">
        <v>0</v>
      </c>
      <c r="F77" s="136"/>
      <c r="G77" s="151">
        <f t="shared" si="5"/>
        <v>0</v>
      </c>
      <c r="H77" s="172"/>
    </row>
    <row r="78" spans="1:8" ht="18.75">
      <c r="A78" s="182" t="s">
        <v>264</v>
      </c>
      <c r="B78" s="217" t="s">
        <v>334</v>
      </c>
      <c r="C78" s="149">
        <v>0</v>
      </c>
      <c r="D78" s="149">
        <v>0</v>
      </c>
      <c r="E78" s="149">
        <v>0</v>
      </c>
      <c r="F78" s="149"/>
      <c r="G78" s="215">
        <f t="shared" si="5"/>
        <v>0</v>
      </c>
      <c r="H78" s="214"/>
    </row>
    <row r="79" spans="1:8" ht="19.5" thickBot="1">
      <c r="A79" s="182" t="s">
        <v>336</v>
      </c>
      <c r="B79" s="219" t="s">
        <v>53</v>
      </c>
      <c r="C79" s="173">
        <v>0</v>
      </c>
      <c r="D79" s="173">
        <v>0</v>
      </c>
      <c r="E79" s="173">
        <v>0</v>
      </c>
      <c r="F79" s="173"/>
      <c r="G79" s="177">
        <f t="shared" si="5"/>
        <v>0</v>
      </c>
      <c r="H79" s="175"/>
    </row>
    <row r="80" spans="1:8" ht="19.5" thickBot="1">
      <c r="A80" s="192" t="s">
        <v>72</v>
      </c>
      <c r="B80" s="178" t="s">
        <v>204</v>
      </c>
      <c r="C80" s="179">
        <v>4</v>
      </c>
      <c r="D80" s="179">
        <v>10</v>
      </c>
      <c r="E80" s="179">
        <v>12</v>
      </c>
      <c r="F80" s="179"/>
      <c r="G80" s="180" t="s">
        <v>28</v>
      </c>
      <c r="H80" s="193"/>
    </row>
    <row r="81" spans="1:8" ht="18.75">
      <c r="A81" s="167" t="s">
        <v>74</v>
      </c>
      <c r="B81" s="168" t="s">
        <v>75</v>
      </c>
      <c r="C81" s="169">
        <v>4</v>
      </c>
      <c r="D81" s="169">
        <v>6</v>
      </c>
      <c r="E81" s="169">
        <v>2</v>
      </c>
      <c r="F81" s="169"/>
      <c r="G81" s="170">
        <f t="shared" ref="G81:G97" si="6">C81+D81+E81+F81</f>
        <v>12</v>
      </c>
      <c r="H81" s="171"/>
    </row>
    <row r="82" spans="1:8" ht="18.75">
      <c r="A82" s="183" t="s">
        <v>76</v>
      </c>
      <c r="B82" s="162" t="s">
        <v>37</v>
      </c>
      <c r="C82" s="136">
        <v>1</v>
      </c>
      <c r="D82" s="136">
        <v>0</v>
      </c>
      <c r="E82" s="136">
        <v>1</v>
      </c>
      <c r="F82" s="136"/>
      <c r="G82" s="151">
        <f t="shared" si="6"/>
        <v>2</v>
      </c>
      <c r="H82" s="172"/>
    </row>
    <row r="83" spans="1:8" ht="18.75">
      <c r="A83" s="183" t="s">
        <v>77</v>
      </c>
      <c r="B83" s="162" t="s">
        <v>39</v>
      </c>
      <c r="C83" s="136">
        <v>1</v>
      </c>
      <c r="D83" s="136">
        <v>2</v>
      </c>
      <c r="E83" s="136">
        <v>0</v>
      </c>
      <c r="F83" s="136"/>
      <c r="G83" s="151">
        <f t="shared" si="6"/>
        <v>3</v>
      </c>
      <c r="H83" s="172"/>
    </row>
    <row r="84" spans="1:8" ht="18.75">
      <c r="A84" s="183" t="s">
        <v>78</v>
      </c>
      <c r="B84" s="162" t="s">
        <v>243</v>
      </c>
      <c r="C84" s="136">
        <v>0</v>
      </c>
      <c r="D84" s="136">
        <v>0</v>
      </c>
      <c r="E84" s="136">
        <v>0</v>
      </c>
      <c r="F84" s="136"/>
      <c r="G84" s="151">
        <f t="shared" si="6"/>
        <v>0</v>
      </c>
      <c r="H84" s="172"/>
    </row>
    <row r="85" spans="1:8" ht="18.75">
      <c r="A85" s="183" t="s">
        <v>79</v>
      </c>
      <c r="B85" s="162" t="s">
        <v>41</v>
      </c>
      <c r="C85" s="136">
        <v>1</v>
      </c>
      <c r="D85" s="136">
        <v>2</v>
      </c>
      <c r="E85" s="136">
        <v>1</v>
      </c>
      <c r="F85" s="136"/>
      <c r="G85" s="151">
        <f t="shared" si="6"/>
        <v>4</v>
      </c>
      <c r="H85" s="172"/>
    </row>
    <row r="86" spans="1:8" ht="18.75">
      <c r="A86" s="183" t="s">
        <v>80</v>
      </c>
      <c r="B86" s="162" t="s">
        <v>245</v>
      </c>
      <c r="C86" s="136">
        <v>0</v>
      </c>
      <c r="D86" s="136">
        <v>0</v>
      </c>
      <c r="E86" s="136">
        <v>0</v>
      </c>
      <c r="F86" s="136"/>
      <c r="G86" s="151">
        <f t="shared" si="6"/>
        <v>0</v>
      </c>
      <c r="H86" s="172"/>
    </row>
    <row r="87" spans="1:8" ht="18.75">
      <c r="A87" s="183" t="s">
        <v>81</v>
      </c>
      <c r="B87" s="162" t="s">
        <v>252</v>
      </c>
      <c r="C87" s="136">
        <v>1</v>
      </c>
      <c r="D87" s="136">
        <v>2</v>
      </c>
      <c r="E87" s="136">
        <v>0</v>
      </c>
      <c r="F87" s="136"/>
      <c r="G87" s="151">
        <f t="shared" si="6"/>
        <v>3</v>
      </c>
      <c r="H87" s="172"/>
    </row>
    <row r="88" spans="1:8" ht="18.75">
      <c r="A88" s="183" t="s">
        <v>82</v>
      </c>
      <c r="B88" s="162" t="s">
        <v>244</v>
      </c>
      <c r="C88" s="136">
        <v>0</v>
      </c>
      <c r="D88" s="136">
        <v>0</v>
      </c>
      <c r="E88" s="136">
        <v>0</v>
      </c>
      <c r="F88" s="136"/>
      <c r="G88" s="151">
        <f t="shared" si="6"/>
        <v>0</v>
      </c>
      <c r="H88" s="172"/>
    </row>
    <row r="89" spans="1:8" ht="18.75">
      <c r="A89" s="183" t="s">
        <v>83</v>
      </c>
      <c r="B89" s="162" t="s">
        <v>45</v>
      </c>
      <c r="C89" s="136">
        <v>0</v>
      </c>
      <c r="D89" s="136">
        <v>0</v>
      </c>
      <c r="E89" s="136">
        <v>0</v>
      </c>
      <c r="F89" s="136"/>
      <c r="G89" s="151">
        <f t="shared" si="6"/>
        <v>0</v>
      </c>
      <c r="H89" s="172"/>
    </row>
    <row r="90" spans="1:8" ht="18.75">
      <c r="A90" s="183" t="s">
        <v>84</v>
      </c>
      <c r="B90" s="162" t="s">
        <v>49</v>
      </c>
      <c r="C90" s="136">
        <v>0</v>
      </c>
      <c r="D90" s="136">
        <v>0</v>
      </c>
      <c r="E90" s="136">
        <v>0</v>
      </c>
      <c r="F90" s="136"/>
      <c r="G90" s="151">
        <f t="shared" si="6"/>
        <v>0</v>
      </c>
      <c r="H90" s="172"/>
    </row>
    <row r="91" spans="1:8" ht="18.75">
      <c r="A91" s="183" t="s">
        <v>265</v>
      </c>
      <c r="B91" s="162" t="s">
        <v>51</v>
      </c>
      <c r="C91" s="136">
        <v>0</v>
      </c>
      <c r="D91" s="136">
        <v>0</v>
      </c>
      <c r="E91" s="136">
        <v>0</v>
      </c>
      <c r="F91" s="136"/>
      <c r="G91" s="151">
        <f t="shared" si="6"/>
        <v>0</v>
      </c>
      <c r="H91" s="172"/>
    </row>
    <row r="92" spans="1:8" ht="18.75">
      <c r="A92" s="183" t="s">
        <v>266</v>
      </c>
      <c r="B92" s="162" t="s">
        <v>206</v>
      </c>
      <c r="C92" s="136">
        <v>0</v>
      </c>
      <c r="D92" s="136">
        <v>0</v>
      </c>
      <c r="E92" s="136">
        <v>0</v>
      </c>
      <c r="F92" s="136"/>
      <c r="G92" s="151">
        <f t="shared" si="6"/>
        <v>0</v>
      </c>
      <c r="H92" s="172"/>
    </row>
    <row r="93" spans="1:8" ht="18.75">
      <c r="A93" s="183" t="s">
        <v>267</v>
      </c>
      <c r="B93" s="162" t="s">
        <v>207</v>
      </c>
      <c r="C93" s="136">
        <v>0</v>
      </c>
      <c r="D93" s="136">
        <v>0</v>
      </c>
      <c r="E93" s="136">
        <v>0</v>
      </c>
      <c r="F93" s="136"/>
      <c r="G93" s="151">
        <f t="shared" si="6"/>
        <v>0</v>
      </c>
      <c r="H93" s="172"/>
    </row>
    <row r="94" spans="1:8" ht="18.75">
      <c r="A94" s="183" t="s">
        <v>268</v>
      </c>
      <c r="B94" s="217" t="s">
        <v>334</v>
      </c>
      <c r="C94" s="149">
        <v>0</v>
      </c>
      <c r="D94" s="149">
        <v>0</v>
      </c>
      <c r="E94" s="149">
        <v>0</v>
      </c>
      <c r="F94" s="149"/>
      <c r="G94" s="215">
        <f t="shared" si="6"/>
        <v>0</v>
      </c>
      <c r="H94" s="214"/>
    </row>
    <row r="95" spans="1:8" ht="19.5" thickBot="1">
      <c r="A95" s="183" t="s">
        <v>337</v>
      </c>
      <c r="B95" s="219" t="s">
        <v>53</v>
      </c>
      <c r="C95" s="173">
        <v>0</v>
      </c>
      <c r="D95" s="173">
        <v>0</v>
      </c>
      <c r="E95" s="173">
        <v>0</v>
      </c>
      <c r="F95" s="173"/>
      <c r="G95" s="177">
        <f t="shared" si="6"/>
        <v>0</v>
      </c>
      <c r="H95" s="175"/>
    </row>
    <row r="96" spans="1:8" ht="19.5" thickBot="1">
      <c r="A96" s="192" t="s">
        <v>85</v>
      </c>
      <c r="B96" s="220" t="s">
        <v>329</v>
      </c>
      <c r="C96" s="211">
        <v>2</v>
      </c>
      <c r="D96" s="211">
        <v>0</v>
      </c>
      <c r="E96" s="211">
        <v>2</v>
      </c>
      <c r="F96" s="211"/>
      <c r="G96" s="212">
        <f t="shared" si="6"/>
        <v>4</v>
      </c>
      <c r="H96" s="213"/>
    </row>
    <row r="97" spans="1:8" ht="19.5" thickBot="1">
      <c r="A97" s="192" t="s">
        <v>328</v>
      </c>
      <c r="B97" s="192" t="s">
        <v>317</v>
      </c>
      <c r="C97" s="194">
        <v>0</v>
      </c>
      <c r="D97" s="194">
        <v>0</v>
      </c>
      <c r="E97" s="194">
        <v>4</v>
      </c>
      <c r="F97" s="194"/>
      <c r="G97" s="195">
        <f t="shared" si="6"/>
        <v>4</v>
      </c>
      <c r="H97" s="193"/>
    </row>
    <row r="98" spans="1:8" ht="37.5">
      <c r="B98" s="161" t="s">
        <v>257</v>
      </c>
    </row>
    <row r="100" spans="1:8" ht="30.95" customHeight="1">
      <c r="A100" s="309" t="s">
        <v>220</v>
      </c>
      <c r="B100" s="309"/>
      <c r="C100" s="309"/>
      <c r="D100" s="309"/>
      <c r="E100" s="309"/>
      <c r="F100" s="309"/>
      <c r="G100" s="309"/>
      <c r="H100" s="309"/>
    </row>
    <row r="101" spans="1:8" ht="37.5">
      <c r="A101" s="153"/>
      <c r="B101" s="154" t="s">
        <v>86</v>
      </c>
      <c r="C101" s="155" t="s">
        <v>8</v>
      </c>
      <c r="D101" s="155" t="s">
        <v>9</v>
      </c>
      <c r="E101" s="155" t="s">
        <v>10</v>
      </c>
      <c r="F101" s="155" t="s">
        <v>11</v>
      </c>
      <c r="G101" s="155" t="s">
        <v>242</v>
      </c>
      <c r="H101" s="155" t="s">
        <v>236</v>
      </c>
    </row>
    <row r="102" spans="1:8" ht="18.75">
      <c r="A102" s="156"/>
      <c r="B102" s="157" t="s">
        <v>87</v>
      </c>
      <c r="C102" s="158"/>
      <c r="D102" s="158"/>
      <c r="E102" s="158"/>
      <c r="F102" s="158"/>
      <c r="G102" s="158"/>
      <c r="H102" s="159" t="s">
        <v>16</v>
      </c>
    </row>
    <row r="103" spans="1:8" ht="37.5">
      <c r="A103" s="135"/>
      <c r="B103" s="139" t="s">
        <v>240</v>
      </c>
      <c r="C103" s="160">
        <f>C9/C8</f>
        <v>0.26</v>
      </c>
      <c r="D103" s="160">
        <f>D9/D8</f>
        <v>0.26</v>
      </c>
      <c r="E103" s="160" t="e">
        <f>E9/E8</f>
        <v>#DIV/0!</v>
      </c>
      <c r="F103" s="160" t="e">
        <f>F9/F8</f>
        <v>#DIV/0!</v>
      </c>
      <c r="G103" s="184" t="s">
        <v>28</v>
      </c>
      <c r="H103" s="184" t="s">
        <v>28</v>
      </c>
    </row>
    <row r="104" spans="1:8" ht="18.75">
      <c r="A104" s="135"/>
      <c r="B104" s="139" t="s">
        <v>239</v>
      </c>
      <c r="C104" s="160">
        <f>C21/90</f>
        <v>0</v>
      </c>
      <c r="D104" s="160">
        <f>D21/90</f>
        <v>0</v>
      </c>
      <c r="E104" s="160">
        <f>E21/90</f>
        <v>0</v>
      </c>
      <c r="F104" s="160">
        <f>F21/90</f>
        <v>0</v>
      </c>
      <c r="G104" s="134">
        <f>G21/365</f>
        <v>0</v>
      </c>
      <c r="H104" s="184" t="s">
        <v>28</v>
      </c>
    </row>
    <row r="105" spans="1:8" ht="37.5">
      <c r="A105" s="135"/>
      <c r="B105" s="139" t="s">
        <v>238</v>
      </c>
      <c r="C105" s="160">
        <f>C32/C31</f>
        <v>0.95575221238938057</v>
      </c>
      <c r="D105" s="160">
        <f>D32/D31</f>
        <v>0.87596899224806202</v>
      </c>
      <c r="E105" s="160">
        <f>E32/E31</f>
        <v>0.92391304347826086</v>
      </c>
      <c r="F105" s="160" t="e">
        <f>F32/F31</f>
        <v>#DIV/0!</v>
      </c>
      <c r="G105" s="184" t="s">
        <v>28</v>
      </c>
      <c r="H105" s="184" t="s">
        <v>28</v>
      </c>
    </row>
    <row r="106" spans="1:8" ht="18.75">
      <c r="A106" s="156"/>
      <c r="B106" s="157" t="s">
        <v>241</v>
      </c>
      <c r="C106" s="185"/>
      <c r="D106" s="185"/>
      <c r="E106" s="185"/>
      <c r="F106" s="185"/>
      <c r="G106" s="185"/>
      <c r="H106" s="185"/>
    </row>
    <row r="107" spans="1:8" ht="18.75">
      <c r="A107" s="135"/>
      <c r="B107" s="139" t="s">
        <v>237</v>
      </c>
      <c r="C107" s="160">
        <f>C33/(C33+C34+C35)</f>
        <v>0.39473684210526316</v>
      </c>
      <c r="D107" s="160">
        <f t="shared" ref="D107:F107" si="7">D33/(D33+D34+D35)</f>
        <v>0.42499999999999999</v>
      </c>
      <c r="E107" s="160">
        <f t="shared" si="7"/>
        <v>0.40952380952380951</v>
      </c>
      <c r="F107" s="160" t="e">
        <f t="shared" si="7"/>
        <v>#DIV/0!</v>
      </c>
      <c r="G107" s="184" t="s">
        <v>28</v>
      </c>
      <c r="H107" s="184" t="s">
        <v>28</v>
      </c>
    </row>
    <row r="108" spans="1:8" ht="18.75">
      <c r="A108" s="135"/>
      <c r="B108" s="139" t="s">
        <v>93</v>
      </c>
      <c r="C108" s="160">
        <f>C36/ (C36+C37+C38+C39)</f>
        <v>0.88888888888888884</v>
      </c>
      <c r="D108" s="160">
        <f t="shared" ref="D108:F108" si="8">D36/ (D36+D37+D38+D39)</f>
        <v>0.88235294117647056</v>
      </c>
      <c r="E108" s="160">
        <f t="shared" si="8"/>
        <v>0.91379310344827591</v>
      </c>
      <c r="F108" s="160" t="e">
        <f t="shared" si="8"/>
        <v>#DIV/0!</v>
      </c>
      <c r="G108" s="184" t="s">
        <v>28</v>
      </c>
      <c r="H108" s="184" t="s">
        <v>28</v>
      </c>
    </row>
    <row r="109" spans="1:8" ht="18.75">
      <c r="A109" s="135"/>
      <c r="B109" s="139" t="s">
        <v>253</v>
      </c>
      <c r="C109" s="186"/>
      <c r="D109" s="186"/>
      <c r="E109" s="186"/>
      <c r="F109" s="186"/>
      <c r="G109" s="184" t="s">
        <v>28</v>
      </c>
      <c r="H109" s="186" t="s">
        <v>95</v>
      </c>
    </row>
    <row r="110" spans="1:8" ht="18.75">
      <c r="A110" s="135"/>
      <c r="B110" s="139" t="s">
        <v>254</v>
      </c>
      <c r="C110" s="186"/>
      <c r="D110" s="186"/>
      <c r="E110" s="186"/>
      <c r="F110" s="186"/>
      <c r="G110" s="184" t="s">
        <v>28</v>
      </c>
      <c r="H110" s="186" t="s">
        <v>95</v>
      </c>
    </row>
    <row r="111" spans="1:8" ht="18.75">
      <c r="A111" s="135"/>
      <c r="B111" s="139" t="s">
        <v>255</v>
      </c>
      <c r="C111" s="186"/>
      <c r="D111" s="186"/>
      <c r="E111" s="186"/>
      <c r="F111" s="186"/>
      <c r="G111" s="184" t="s">
        <v>28</v>
      </c>
      <c r="H111" s="186" t="s">
        <v>95</v>
      </c>
    </row>
    <row r="112" spans="1:8" ht="18.75">
      <c r="A112" s="135"/>
      <c r="B112" s="139" t="s">
        <v>98</v>
      </c>
      <c r="C112" s="160">
        <f>C47/C32</f>
        <v>0.15740740740740741</v>
      </c>
      <c r="D112" s="160">
        <f>D47/D32</f>
        <v>0.20353982300884957</v>
      </c>
      <c r="E112" s="160">
        <f>E47/E32</f>
        <v>0.22941176470588234</v>
      </c>
      <c r="F112" s="160" t="e">
        <f>F47/F32</f>
        <v>#DIV/0!</v>
      </c>
      <c r="G112" s="184" t="s">
        <v>28</v>
      </c>
      <c r="H112" s="184" t="s">
        <v>28</v>
      </c>
    </row>
    <row r="113" spans="1:8" ht="18.75">
      <c r="A113" s="135"/>
      <c r="B113" s="139" t="s">
        <v>99</v>
      </c>
      <c r="C113" s="160">
        <f>C48/C32</f>
        <v>0.42592592592592593</v>
      </c>
      <c r="D113" s="160">
        <f>D48/D32</f>
        <v>0.52212389380530977</v>
      </c>
      <c r="E113" s="160">
        <f>E48/E32</f>
        <v>0.5</v>
      </c>
      <c r="F113" s="160" t="e">
        <f>F48/F32</f>
        <v>#DIV/0!</v>
      </c>
      <c r="G113" s="184" t="s">
        <v>28</v>
      </c>
      <c r="H113" s="184" t="s">
        <v>28</v>
      </c>
    </row>
    <row r="114" spans="1:8" ht="18.75">
      <c r="A114" s="156"/>
      <c r="B114" s="157" t="s">
        <v>331</v>
      </c>
      <c r="C114" s="185"/>
      <c r="D114" s="185"/>
      <c r="E114" s="185"/>
      <c r="F114" s="185"/>
      <c r="G114" s="185"/>
      <c r="H114" s="185"/>
    </row>
    <row r="115" spans="1:8" ht="18.75">
      <c r="A115" s="135"/>
      <c r="B115" s="139" t="s">
        <v>332</v>
      </c>
      <c r="C115" s="160">
        <f>C65/C31</f>
        <v>3.5398230088495575E-2</v>
      </c>
      <c r="D115" s="160">
        <f t="shared" ref="D115:F115" si="9">D65/D31</f>
        <v>2.3255813953488372E-2</v>
      </c>
      <c r="E115" s="160">
        <f t="shared" si="9"/>
        <v>5.434782608695652E-3</v>
      </c>
      <c r="F115" s="160" t="e">
        <f t="shared" si="9"/>
        <v>#DIV/0!</v>
      </c>
      <c r="G115" s="184" t="s">
        <v>28</v>
      </c>
      <c r="H115" s="184" t="s">
        <v>28</v>
      </c>
    </row>
    <row r="116" spans="1:8" ht="18.75">
      <c r="A116" s="135"/>
      <c r="B116" s="139" t="s">
        <v>100</v>
      </c>
      <c r="C116" s="160">
        <f>C81/C31</f>
        <v>3.5398230088495575E-2</v>
      </c>
      <c r="D116" s="160">
        <f t="shared" ref="D116:F116" si="10">D81/D31</f>
        <v>4.6511627906976744E-2</v>
      </c>
      <c r="E116" s="160">
        <f t="shared" si="10"/>
        <v>1.0869565217391304E-2</v>
      </c>
      <c r="F116" s="160" t="e">
        <f t="shared" si="10"/>
        <v>#DIV/0!</v>
      </c>
      <c r="G116" s="184" t="s">
        <v>28</v>
      </c>
      <c r="H116" s="184" t="s">
        <v>28</v>
      </c>
    </row>
    <row r="117" spans="1:8" ht="18.75">
      <c r="A117" s="135"/>
      <c r="B117" s="139" t="s">
        <v>318</v>
      </c>
      <c r="C117" s="160">
        <f>C97/C31</f>
        <v>0</v>
      </c>
      <c r="D117" s="160">
        <f t="shared" ref="D117:F117" si="11">D97/D31</f>
        <v>0</v>
      </c>
      <c r="E117" s="160">
        <f t="shared" si="11"/>
        <v>2.1739130434782608E-2</v>
      </c>
      <c r="F117" s="160" t="e">
        <f t="shared" si="11"/>
        <v>#DIV/0!</v>
      </c>
      <c r="G117" s="184" t="s">
        <v>28</v>
      </c>
      <c r="H117" s="184" t="s">
        <v>28</v>
      </c>
    </row>
    <row r="119" spans="1:8" ht="37.5">
      <c r="B119" s="161" t="s">
        <v>256</v>
      </c>
    </row>
  </sheetData>
  <mergeCells count="6">
    <mergeCell ref="A100:H100"/>
    <mergeCell ref="A1:B1"/>
    <mergeCell ref="A2:B2"/>
    <mergeCell ref="G2:H2"/>
    <mergeCell ref="A3:B3"/>
    <mergeCell ref="G3:H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22"/>
  <sheetViews>
    <sheetView workbookViewId="0">
      <selection activeCell="C11" sqref="C11:E11"/>
    </sheetView>
  </sheetViews>
  <sheetFormatPr defaultColWidth="8.85546875" defaultRowHeight="15"/>
  <cols>
    <col min="1" max="1" width="4.5703125" style="123" customWidth="1"/>
    <col min="2" max="2" width="59.5703125" customWidth="1"/>
    <col min="3" max="3" width="4.140625" customWidth="1"/>
    <col min="4" max="4" width="55.85546875" customWidth="1"/>
    <col min="5" max="5" width="68.42578125" customWidth="1"/>
    <col min="6" max="23" width="8.85546875" style="123"/>
  </cols>
  <sheetData>
    <row r="1" spans="2:12" ht="26.25">
      <c r="B1" s="330" t="s">
        <v>313</v>
      </c>
      <c r="C1" s="330"/>
      <c r="D1" s="13" t="s">
        <v>2</v>
      </c>
      <c r="E1" s="13" t="s">
        <v>2</v>
      </c>
    </row>
    <row r="2" spans="2:12" ht="27.95" customHeight="1">
      <c r="B2" s="311" t="s">
        <v>346</v>
      </c>
      <c r="C2" s="312"/>
      <c r="D2" s="197" t="s">
        <v>4</v>
      </c>
      <c r="E2" s="198"/>
    </row>
    <row r="3" spans="2:12" ht="27.95" customHeight="1">
      <c r="B3" s="311" t="s">
        <v>359</v>
      </c>
      <c r="C3" s="312"/>
      <c r="D3" s="197" t="s">
        <v>6</v>
      </c>
      <c r="E3" s="198"/>
    </row>
    <row r="4" spans="2:12" ht="27.95" customHeight="1">
      <c r="B4" s="331" t="s">
        <v>360</v>
      </c>
      <c r="C4" s="332"/>
      <c r="D4" s="199" t="s">
        <v>314</v>
      </c>
      <c r="E4" s="198"/>
    </row>
    <row r="5" spans="2:12" ht="27.95" customHeight="1">
      <c r="B5" s="333"/>
      <c r="C5" s="334"/>
      <c r="D5" s="199" t="s">
        <v>315</v>
      </c>
      <c r="E5" s="200"/>
    </row>
    <row r="6" spans="2:12" ht="27.95" customHeight="1">
      <c r="B6" s="333"/>
      <c r="C6" s="334"/>
      <c r="D6" s="199" t="s">
        <v>316</v>
      </c>
      <c r="E6" s="200"/>
    </row>
    <row r="7" spans="2:12" ht="15.75" thickBot="1">
      <c r="B7" s="201"/>
      <c r="C7" s="201"/>
      <c r="D7" s="201"/>
      <c r="E7" s="201"/>
    </row>
    <row r="8" spans="2:12" ht="56.1" customHeight="1">
      <c r="B8" s="335" t="s">
        <v>374</v>
      </c>
      <c r="C8" s="336"/>
      <c r="D8" s="336"/>
      <c r="E8" s="337"/>
      <c r="G8" s="202"/>
    </row>
    <row r="9" spans="2:12" ht="39.950000000000003" customHeight="1">
      <c r="B9" s="320" t="s">
        <v>365</v>
      </c>
      <c r="C9" s="321"/>
      <c r="D9" s="321"/>
      <c r="E9" s="322"/>
      <c r="G9" s="202"/>
    </row>
    <row r="10" spans="2:12" ht="123" customHeight="1">
      <c r="B10" s="228" t="s">
        <v>375</v>
      </c>
      <c r="C10" s="323"/>
      <c r="D10" s="324"/>
      <c r="E10" s="325"/>
      <c r="G10" s="202"/>
    </row>
    <row r="11" spans="2:12" ht="116.1" customHeight="1">
      <c r="B11" s="203" t="s">
        <v>376</v>
      </c>
      <c r="C11" s="314"/>
      <c r="D11" s="315"/>
      <c r="E11" s="316"/>
      <c r="G11" s="202"/>
    </row>
    <row r="12" spans="2:12" ht="18.95" customHeight="1">
      <c r="B12" s="204"/>
      <c r="C12" s="205"/>
      <c r="D12" s="205"/>
      <c r="E12" s="205"/>
      <c r="L12" s="206"/>
    </row>
    <row r="13" spans="2:12" ht="39.950000000000003" customHeight="1">
      <c r="B13" s="320" t="s">
        <v>368</v>
      </c>
      <c r="C13" s="321"/>
      <c r="D13" s="321"/>
      <c r="E13" s="322"/>
      <c r="G13" s="202"/>
    </row>
    <row r="14" spans="2:12" ht="77.099999999999994" customHeight="1">
      <c r="B14" s="203" t="s">
        <v>367</v>
      </c>
      <c r="C14" s="314"/>
      <c r="D14" s="315"/>
      <c r="E14" s="316"/>
      <c r="G14" s="202"/>
    </row>
    <row r="15" spans="2:12" ht="75" customHeight="1">
      <c r="B15" s="203" t="s">
        <v>369</v>
      </c>
      <c r="C15" s="314"/>
      <c r="D15" s="315"/>
      <c r="E15" s="316"/>
      <c r="G15" s="202"/>
    </row>
    <row r="16" spans="2:12" ht="111" customHeight="1">
      <c r="B16" s="203" t="s">
        <v>370</v>
      </c>
      <c r="C16" s="314"/>
      <c r="D16" s="315"/>
      <c r="E16" s="316"/>
      <c r="G16" s="202"/>
    </row>
    <row r="17" spans="2:15" ht="63.95" customHeight="1">
      <c r="B17" s="203" t="s">
        <v>377</v>
      </c>
      <c r="C17" s="314"/>
      <c r="D17" s="315"/>
      <c r="E17" s="316"/>
      <c r="G17" s="202"/>
    </row>
    <row r="18" spans="2:15" ht="21" customHeight="1">
      <c r="B18" s="209"/>
      <c r="C18" s="210"/>
      <c r="D18" s="210"/>
      <c r="E18" s="210"/>
    </row>
    <row r="19" spans="2:15" ht="39.950000000000003" customHeight="1">
      <c r="B19" s="327" t="s">
        <v>366</v>
      </c>
      <c r="C19" s="328"/>
      <c r="D19" s="328"/>
      <c r="E19" s="329"/>
      <c r="G19" s="202"/>
    </row>
    <row r="20" spans="2:15" ht="78.95" customHeight="1">
      <c r="B20" s="221" t="s">
        <v>371</v>
      </c>
      <c r="C20" s="314"/>
      <c r="D20" s="315"/>
      <c r="E20" s="326"/>
      <c r="H20" s="207"/>
      <c r="L20" s="208"/>
      <c r="M20" s="208"/>
      <c r="O20" s="208"/>
    </row>
    <row r="21" spans="2:15" ht="78.95" customHeight="1" thickBot="1">
      <c r="B21" s="222" t="s">
        <v>372</v>
      </c>
      <c r="C21" s="317"/>
      <c r="D21" s="318"/>
      <c r="E21" s="319"/>
      <c r="L21" s="208"/>
    </row>
    <row r="22" spans="2:15" ht="78.95" customHeight="1" thickBot="1">
      <c r="B22" s="222" t="s">
        <v>373</v>
      </c>
      <c r="C22" s="317"/>
      <c r="D22" s="318"/>
      <c r="E22" s="319"/>
      <c r="L22" s="208"/>
    </row>
  </sheetData>
  <sheetProtection selectLockedCells="1" selectUnlockedCells="1"/>
  <mergeCells count="17">
    <mergeCell ref="B1:C1"/>
    <mergeCell ref="B2:C2"/>
    <mergeCell ref="B3:C3"/>
    <mergeCell ref="B4:C6"/>
    <mergeCell ref="B8:E8"/>
    <mergeCell ref="C17:E17"/>
    <mergeCell ref="C22:E22"/>
    <mergeCell ref="C21:E21"/>
    <mergeCell ref="B9:E9"/>
    <mergeCell ref="C10:E10"/>
    <mergeCell ref="C11:E11"/>
    <mergeCell ref="C20:E20"/>
    <mergeCell ref="B13:E13"/>
    <mergeCell ref="B19:E19"/>
    <mergeCell ref="C14:E14"/>
    <mergeCell ref="C15:E15"/>
    <mergeCell ref="C16:E1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37" r:id="rId4" name="Check Box 17">
              <controlPr defaultSize="0" autoFill="0" autoLine="0" autoPict="0">
                <anchor moveWithCells="1">
                  <from>
                    <xdr:col>3</xdr:col>
                    <xdr:colOff>695325</xdr:colOff>
                    <xdr:row>15</xdr:row>
                    <xdr:rowOff>85725</xdr:rowOff>
                  </from>
                  <to>
                    <xdr:col>4</xdr:col>
                    <xdr:colOff>771525</xdr:colOff>
                    <xdr:row>15</xdr:row>
                    <xdr:rowOff>466725</xdr:rowOff>
                  </to>
                </anchor>
              </controlPr>
            </control>
          </mc:Choice>
        </mc:AlternateContent>
        <mc:AlternateContent xmlns:mc="http://schemas.openxmlformats.org/markup-compatibility/2006">
          <mc:Choice Requires="x14">
            <control shapeId="5138" r:id="rId5" name="Check Box 18">
              <controlPr defaultSize="0" autoFill="0" autoLine="0" autoPict="0">
                <anchor moveWithCells="1">
                  <from>
                    <xdr:col>3</xdr:col>
                    <xdr:colOff>695325</xdr:colOff>
                    <xdr:row>15</xdr:row>
                    <xdr:rowOff>371475</xdr:rowOff>
                  </from>
                  <to>
                    <xdr:col>3</xdr:col>
                    <xdr:colOff>4086225</xdr:colOff>
                    <xdr:row>15</xdr:row>
                    <xdr:rowOff>752475</xdr:rowOff>
                  </to>
                </anchor>
              </controlPr>
            </control>
          </mc:Choice>
        </mc:AlternateContent>
        <mc:AlternateContent xmlns:mc="http://schemas.openxmlformats.org/markup-compatibility/2006">
          <mc:Choice Requires="x14">
            <control shapeId="5141" r:id="rId6" name="Check Box 21">
              <controlPr defaultSize="0" autoFill="0" autoLine="0" autoPict="0">
                <anchor moveWithCells="1">
                  <from>
                    <xdr:col>3</xdr:col>
                    <xdr:colOff>695325</xdr:colOff>
                    <xdr:row>15</xdr:row>
                    <xdr:rowOff>657225</xdr:rowOff>
                  </from>
                  <to>
                    <xdr:col>4</xdr:col>
                    <xdr:colOff>876300</xdr:colOff>
                    <xdr:row>15</xdr:row>
                    <xdr:rowOff>1038225</xdr:rowOff>
                  </to>
                </anchor>
              </controlPr>
            </control>
          </mc:Choice>
        </mc:AlternateContent>
        <mc:AlternateContent xmlns:mc="http://schemas.openxmlformats.org/markup-compatibility/2006">
          <mc:Choice Requires="x14">
            <control shapeId="5143" r:id="rId7" name="Check Box 23">
              <controlPr defaultSize="0" autoFill="0" autoLine="0" autoPict="0">
                <anchor moveWithCells="1">
                  <from>
                    <xdr:col>3</xdr:col>
                    <xdr:colOff>695325</xdr:colOff>
                    <xdr:row>15</xdr:row>
                    <xdr:rowOff>952500</xdr:rowOff>
                  </from>
                  <to>
                    <xdr:col>4</xdr:col>
                    <xdr:colOff>180975</xdr:colOff>
                    <xdr:row>15</xdr:row>
                    <xdr:rowOff>1333500</xdr:rowOff>
                  </to>
                </anchor>
              </controlPr>
            </control>
          </mc:Choice>
        </mc:AlternateContent>
        <mc:AlternateContent xmlns:mc="http://schemas.openxmlformats.org/markup-compatibility/2006">
          <mc:Choice Requires="x14">
            <control shapeId="5145" r:id="rId8" name="Check Box 25">
              <controlPr defaultSize="0" autoFill="0" autoLine="0" autoPict="0">
                <anchor moveWithCells="1">
                  <from>
                    <xdr:col>3</xdr:col>
                    <xdr:colOff>657225</xdr:colOff>
                    <xdr:row>9</xdr:row>
                    <xdr:rowOff>9525</xdr:rowOff>
                  </from>
                  <to>
                    <xdr:col>3</xdr:col>
                    <xdr:colOff>2181225</xdr:colOff>
                    <xdr:row>9</xdr:row>
                    <xdr:rowOff>390525</xdr:rowOff>
                  </to>
                </anchor>
              </controlPr>
            </control>
          </mc:Choice>
        </mc:AlternateContent>
        <mc:AlternateContent xmlns:mc="http://schemas.openxmlformats.org/markup-compatibility/2006">
          <mc:Choice Requires="x14">
            <control shapeId="5146" r:id="rId9" name="Check Box 26">
              <controlPr defaultSize="0" autoFill="0" autoLine="0" autoPict="0">
                <anchor moveWithCells="1">
                  <from>
                    <xdr:col>3</xdr:col>
                    <xdr:colOff>657225</xdr:colOff>
                    <xdr:row>9</xdr:row>
                    <xdr:rowOff>304800</xdr:rowOff>
                  </from>
                  <to>
                    <xdr:col>4</xdr:col>
                    <xdr:colOff>180975</xdr:colOff>
                    <xdr:row>9</xdr:row>
                    <xdr:rowOff>685800</xdr:rowOff>
                  </to>
                </anchor>
              </controlPr>
            </control>
          </mc:Choice>
        </mc:AlternateContent>
        <mc:AlternateContent xmlns:mc="http://schemas.openxmlformats.org/markup-compatibility/2006">
          <mc:Choice Requires="x14">
            <control shapeId="5147" r:id="rId10" name="Check Box 27">
              <controlPr defaultSize="0" autoFill="0" autoLine="0" autoPict="0">
                <anchor moveWithCells="1">
                  <from>
                    <xdr:col>3</xdr:col>
                    <xdr:colOff>657225</xdr:colOff>
                    <xdr:row>9</xdr:row>
                    <xdr:rowOff>581025</xdr:rowOff>
                  </from>
                  <to>
                    <xdr:col>3</xdr:col>
                    <xdr:colOff>3667125</xdr:colOff>
                    <xdr:row>9</xdr:row>
                    <xdr:rowOff>962025</xdr:rowOff>
                  </to>
                </anchor>
              </controlPr>
            </control>
          </mc:Choice>
        </mc:AlternateContent>
        <mc:AlternateContent xmlns:mc="http://schemas.openxmlformats.org/markup-compatibility/2006">
          <mc:Choice Requires="x14">
            <control shapeId="5148" r:id="rId11" name="Check Box 28">
              <controlPr defaultSize="0" autoFill="0" autoLine="0" autoPict="0">
                <anchor moveWithCells="1">
                  <from>
                    <xdr:col>3</xdr:col>
                    <xdr:colOff>657225</xdr:colOff>
                    <xdr:row>9</xdr:row>
                    <xdr:rowOff>876300</xdr:rowOff>
                  </from>
                  <to>
                    <xdr:col>4</xdr:col>
                    <xdr:colOff>885825</xdr:colOff>
                    <xdr:row>9</xdr:row>
                    <xdr:rowOff>1257300</xdr:rowOff>
                  </to>
                </anchor>
              </controlPr>
            </control>
          </mc:Choice>
        </mc:AlternateContent>
        <mc:AlternateContent xmlns:mc="http://schemas.openxmlformats.org/markup-compatibility/2006">
          <mc:Choice Requires="x14">
            <control shapeId="5149" r:id="rId12" name="Check Box 29">
              <controlPr defaultSize="0" autoFill="0" autoLine="0" autoPict="0">
                <anchor moveWithCells="1">
                  <from>
                    <xdr:col>3</xdr:col>
                    <xdr:colOff>657225</xdr:colOff>
                    <xdr:row>9</xdr:row>
                    <xdr:rowOff>1171575</xdr:rowOff>
                  </from>
                  <to>
                    <xdr:col>4</xdr:col>
                    <xdr:colOff>647700</xdr:colOff>
                    <xdr:row>9</xdr:row>
                    <xdr:rowOff>1552575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election activeCell="C11" sqref="C11"/>
    </sheetView>
  </sheetViews>
  <sheetFormatPr defaultColWidth="12.42578125" defaultRowHeight="15"/>
  <cols>
    <col min="1" max="1" width="8.42578125" style="1" customWidth="1"/>
    <col min="2" max="2" width="55.42578125" style="1" customWidth="1"/>
    <col min="3" max="3" width="80.42578125" style="1" customWidth="1"/>
    <col min="4" max="4" width="34.140625" style="1" hidden="1" customWidth="1"/>
    <col min="5" max="5" width="55.42578125" style="1" customWidth="1"/>
    <col min="6" max="16384" width="12.42578125" style="1"/>
  </cols>
  <sheetData>
    <row r="1" spans="1:5" ht="32.25" customHeight="1">
      <c r="A1" s="4"/>
      <c r="B1" s="338" t="s">
        <v>101</v>
      </c>
      <c r="C1" s="338"/>
      <c r="D1" s="5"/>
      <c r="E1" s="4"/>
    </row>
    <row r="2" spans="1:5" ht="20.25" customHeight="1">
      <c r="A2" s="6"/>
      <c r="B2" s="2" t="s">
        <v>7</v>
      </c>
      <c r="C2" s="2"/>
      <c r="D2" s="2"/>
      <c r="E2" s="6"/>
    </row>
    <row r="3" spans="1:5" ht="31.5">
      <c r="A3" s="3"/>
      <c r="B3" s="7" t="s">
        <v>102</v>
      </c>
      <c r="C3" s="7" t="s">
        <v>103</v>
      </c>
      <c r="D3" s="7" t="s">
        <v>104</v>
      </c>
      <c r="E3" s="8" t="s">
        <v>105</v>
      </c>
    </row>
    <row r="4" spans="1:5">
      <c r="A4" s="78"/>
      <c r="B4" s="78" t="s">
        <v>106</v>
      </c>
      <c r="C4" s="78" t="s">
        <v>107</v>
      </c>
      <c r="D4" s="78"/>
      <c r="E4" s="78"/>
    </row>
    <row r="5" spans="1:5" ht="30">
      <c r="A5" s="78" t="s">
        <v>17</v>
      </c>
      <c r="B5" s="93" t="s">
        <v>108</v>
      </c>
      <c r="C5" s="78" t="s">
        <v>109</v>
      </c>
      <c r="D5" s="78"/>
      <c r="E5" s="78"/>
    </row>
    <row r="6" spans="1:5" ht="30">
      <c r="A6" s="187" t="s">
        <v>18</v>
      </c>
      <c r="B6" s="187" t="s">
        <v>110</v>
      </c>
      <c r="C6" s="78" t="s">
        <v>111</v>
      </c>
      <c r="D6" s="78"/>
      <c r="E6" s="78"/>
    </row>
    <row r="7" spans="1:5" ht="30">
      <c r="A7" s="78" t="s">
        <v>19</v>
      </c>
      <c r="B7" s="188" t="s">
        <v>20</v>
      </c>
      <c r="C7" s="78" t="s">
        <v>260</v>
      </c>
      <c r="D7" s="78"/>
      <c r="E7" s="78"/>
    </row>
    <row r="8" spans="1:5" ht="30">
      <c r="A8" s="187" t="s">
        <v>21</v>
      </c>
      <c r="B8" s="189" t="s">
        <v>22</v>
      </c>
      <c r="C8" s="78" t="s">
        <v>112</v>
      </c>
      <c r="D8" s="78"/>
      <c r="E8" s="78"/>
    </row>
    <row r="9" spans="1:5" ht="31.5">
      <c r="A9" s="187" t="s">
        <v>23</v>
      </c>
      <c r="B9" s="189" t="s">
        <v>24</v>
      </c>
      <c r="C9" s="78" t="s">
        <v>113</v>
      </c>
      <c r="D9" s="78"/>
      <c r="E9" s="78"/>
    </row>
    <row r="10" spans="1:5" ht="32.25" customHeight="1">
      <c r="A10" s="78" t="s">
        <v>25</v>
      </c>
      <c r="B10" s="119" t="s">
        <v>258</v>
      </c>
      <c r="C10" s="78" t="s">
        <v>259</v>
      </c>
      <c r="D10" s="78"/>
      <c r="E10" s="84" t="s">
        <v>114</v>
      </c>
    </row>
    <row r="11" spans="1:5" ht="32.25" customHeight="1">
      <c r="A11" s="78" t="s">
        <v>26</v>
      </c>
      <c r="B11" s="120" t="s">
        <v>27</v>
      </c>
      <c r="C11" s="78" t="s">
        <v>115</v>
      </c>
      <c r="D11" s="78"/>
      <c r="E11" s="84"/>
    </row>
    <row r="12" spans="1:5" ht="47.25">
      <c r="A12" s="78" t="s">
        <v>29</v>
      </c>
      <c r="B12" s="119" t="s">
        <v>30</v>
      </c>
      <c r="C12" s="78" t="s">
        <v>361</v>
      </c>
      <c r="D12" s="78" t="s">
        <v>116</v>
      </c>
      <c r="E12" s="84" t="s">
        <v>363</v>
      </c>
    </row>
    <row r="13" spans="1:5" s="227" customFormat="1" ht="30">
      <c r="A13" s="226" t="s">
        <v>223</v>
      </c>
      <c r="B13" s="226" t="s">
        <v>358</v>
      </c>
      <c r="C13" s="227" t="s">
        <v>362</v>
      </c>
      <c r="E13" s="227" t="s">
        <v>364</v>
      </c>
    </row>
    <row r="14" spans="1:5" ht="15.75">
      <c r="A14" s="79"/>
      <c r="B14" s="80" t="s">
        <v>31</v>
      </c>
      <c r="C14" s="80"/>
      <c r="D14" s="80"/>
      <c r="E14" s="79"/>
    </row>
    <row r="15" spans="1:5" ht="15.75">
      <c r="A15" s="81"/>
      <c r="B15" s="82" t="s">
        <v>102</v>
      </c>
      <c r="C15" s="82"/>
      <c r="D15" s="82"/>
      <c r="E15" s="83" t="s">
        <v>105</v>
      </c>
    </row>
    <row r="16" spans="1:5" ht="15.75">
      <c r="A16" s="78" t="s">
        <v>32</v>
      </c>
      <c r="B16" s="85" t="s">
        <v>33</v>
      </c>
      <c r="C16" s="86" t="s">
        <v>117</v>
      </c>
      <c r="D16" s="85"/>
      <c r="E16" s="87"/>
    </row>
    <row r="17" spans="1:5" ht="31.5">
      <c r="A17" s="78" t="s">
        <v>34</v>
      </c>
      <c r="B17" s="88" t="s">
        <v>35</v>
      </c>
      <c r="C17" s="89" t="s">
        <v>311</v>
      </c>
      <c r="D17" s="90"/>
      <c r="E17" s="84" t="s">
        <v>312</v>
      </c>
    </row>
    <row r="18" spans="1:5" ht="47.25">
      <c r="A18" s="78" t="s">
        <v>36</v>
      </c>
      <c r="B18" s="91" t="s">
        <v>37</v>
      </c>
      <c r="C18" s="89" t="s">
        <v>118</v>
      </c>
      <c r="D18" s="92"/>
      <c r="E18" s="84" t="s">
        <v>119</v>
      </c>
    </row>
    <row r="19" spans="1:5" ht="47.25">
      <c r="A19" s="78" t="s">
        <v>38</v>
      </c>
      <c r="B19" s="91" t="s">
        <v>39</v>
      </c>
      <c r="C19" s="89" t="s">
        <v>120</v>
      </c>
      <c r="D19" s="92"/>
      <c r="E19" s="84" t="s">
        <v>121</v>
      </c>
    </row>
    <row r="20" spans="1:5" ht="47.25">
      <c r="A20" s="78" t="s">
        <v>40</v>
      </c>
      <c r="B20" s="91" t="s">
        <v>243</v>
      </c>
      <c r="C20" s="89" t="s">
        <v>269</v>
      </c>
      <c r="D20" s="92"/>
      <c r="E20" s="84"/>
    </row>
    <row r="21" spans="1:5" ht="31.5">
      <c r="A21" s="78" t="s">
        <v>42</v>
      </c>
      <c r="B21" s="91" t="s">
        <v>41</v>
      </c>
      <c r="C21" s="89" t="s">
        <v>122</v>
      </c>
      <c r="D21" s="92"/>
      <c r="E21" s="84"/>
    </row>
    <row r="22" spans="1:5" ht="31.5">
      <c r="A22" s="78" t="s">
        <v>44</v>
      </c>
      <c r="B22" s="91" t="s">
        <v>245</v>
      </c>
      <c r="C22" s="89" t="s">
        <v>271</v>
      </c>
      <c r="D22" s="92"/>
      <c r="E22" s="84"/>
    </row>
    <row r="23" spans="1:5" ht="47.25">
      <c r="A23" s="78" t="s">
        <v>46</v>
      </c>
      <c r="B23" s="91" t="s">
        <v>252</v>
      </c>
      <c r="C23" s="89" t="s">
        <v>272</v>
      </c>
      <c r="D23" s="92"/>
      <c r="E23" s="84"/>
    </row>
    <row r="24" spans="1:5" ht="31.5">
      <c r="A24" s="78" t="s">
        <v>48</v>
      </c>
      <c r="B24" s="91" t="s">
        <v>270</v>
      </c>
      <c r="C24" s="89" t="s">
        <v>125</v>
      </c>
      <c r="D24" s="92"/>
      <c r="E24" s="84"/>
    </row>
    <row r="25" spans="1:5" ht="94.5">
      <c r="A25" s="78" t="s">
        <v>50</v>
      </c>
      <c r="B25" s="91" t="s">
        <v>45</v>
      </c>
      <c r="C25" s="89" t="s">
        <v>123</v>
      </c>
      <c r="D25" s="92"/>
      <c r="E25" s="84" t="s">
        <v>124</v>
      </c>
    </row>
    <row r="26" spans="1:5" ht="31.5">
      <c r="A26" s="78" t="s">
        <v>52</v>
      </c>
      <c r="B26" s="91" t="s">
        <v>49</v>
      </c>
      <c r="C26" s="89" t="s">
        <v>126</v>
      </c>
      <c r="D26" s="92"/>
      <c r="E26" s="84" t="s">
        <v>127</v>
      </c>
    </row>
    <row r="27" spans="1:5" ht="47.25">
      <c r="A27" s="78" t="s">
        <v>205</v>
      </c>
      <c r="B27" s="91" t="s">
        <v>51</v>
      </c>
      <c r="C27" s="89" t="s">
        <v>128</v>
      </c>
      <c r="D27" s="92"/>
      <c r="E27" s="84" t="s">
        <v>129</v>
      </c>
    </row>
    <row r="28" spans="1:5" ht="31.5">
      <c r="A28" s="78" t="s">
        <v>208</v>
      </c>
      <c r="B28" s="91" t="s">
        <v>206</v>
      </c>
      <c r="C28" s="89" t="s">
        <v>273</v>
      </c>
      <c r="D28" s="92"/>
      <c r="E28" s="84"/>
    </row>
    <row r="29" spans="1:5" ht="31.5">
      <c r="A29" s="78" t="s">
        <v>246</v>
      </c>
      <c r="B29" s="91" t="s">
        <v>207</v>
      </c>
      <c r="C29" s="89" t="s">
        <v>274</v>
      </c>
      <c r="D29" s="92"/>
      <c r="E29" s="84"/>
    </row>
    <row r="30" spans="1:5" ht="15.75">
      <c r="A30" s="78" t="s">
        <v>247</v>
      </c>
      <c r="B30" s="91" t="s">
        <v>334</v>
      </c>
      <c r="C30" s="89" t="s">
        <v>338</v>
      </c>
      <c r="D30" s="92"/>
      <c r="E30" s="84"/>
    </row>
    <row r="31" spans="1:5" ht="72" customHeight="1">
      <c r="A31" s="78" t="s">
        <v>333</v>
      </c>
      <c r="B31" s="91" t="s">
        <v>53</v>
      </c>
      <c r="C31" s="89" t="s">
        <v>130</v>
      </c>
      <c r="D31" s="92"/>
      <c r="E31" s="84" t="s">
        <v>131</v>
      </c>
    </row>
    <row r="32" spans="1:5" ht="15.75">
      <c r="A32" s="78" t="s">
        <v>54</v>
      </c>
      <c r="B32" s="93" t="s">
        <v>55</v>
      </c>
      <c r="C32" s="89" t="s">
        <v>132</v>
      </c>
      <c r="D32" s="78"/>
      <c r="E32" s="84"/>
    </row>
    <row r="33" spans="1:5" ht="15.75">
      <c r="A33" s="78" t="s">
        <v>56</v>
      </c>
      <c r="B33" s="93" t="s">
        <v>57</v>
      </c>
      <c r="C33" s="89" t="s">
        <v>133</v>
      </c>
      <c r="D33" s="78"/>
      <c r="E33" s="84"/>
    </row>
    <row r="34" spans="1:5" ht="63">
      <c r="A34" s="78" t="s">
        <v>59</v>
      </c>
      <c r="B34" s="93" t="s">
        <v>58</v>
      </c>
      <c r="C34" s="89" t="s">
        <v>134</v>
      </c>
      <c r="D34" s="78"/>
      <c r="E34" s="84" t="s">
        <v>135</v>
      </c>
    </row>
    <row r="35" spans="1:5" ht="15.75">
      <c r="A35" s="78" t="s">
        <v>61</v>
      </c>
      <c r="B35" s="85" t="s">
        <v>60</v>
      </c>
      <c r="C35" s="78" t="s">
        <v>136</v>
      </c>
      <c r="D35" s="78"/>
      <c r="E35" s="84"/>
    </row>
    <row r="36" spans="1:5" ht="15.75">
      <c r="A36" s="78" t="s">
        <v>209</v>
      </c>
      <c r="B36" s="91" t="s">
        <v>37</v>
      </c>
      <c r="C36" s="92" t="s">
        <v>137</v>
      </c>
      <c r="D36" s="92"/>
      <c r="E36" s="84"/>
    </row>
    <row r="37" spans="1:5" ht="15.75">
      <c r="A37" s="78" t="s">
        <v>210</v>
      </c>
      <c r="B37" s="91" t="s">
        <v>39</v>
      </c>
      <c r="C37" s="92" t="s">
        <v>138</v>
      </c>
      <c r="D37" s="92"/>
      <c r="E37" s="84"/>
    </row>
    <row r="38" spans="1:5" ht="31.5">
      <c r="A38" s="78" t="s">
        <v>211</v>
      </c>
      <c r="B38" s="91" t="s">
        <v>243</v>
      </c>
      <c r="C38" s="92" t="s">
        <v>276</v>
      </c>
      <c r="D38" s="92"/>
      <c r="E38" s="84"/>
    </row>
    <row r="39" spans="1:5" ht="15.75">
      <c r="A39" s="78" t="s">
        <v>212</v>
      </c>
      <c r="B39" s="91" t="s">
        <v>41</v>
      </c>
      <c r="C39" s="92" t="s">
        <v>139</v>
      </c>
      <c r="D39" s="92"/>
      <c r="E39" s="84"/>
    </row>
    <row r="40" spans="1:5" ht="15.75">
      <c r="A40" s="78" t="s">
        <v>213</v>
      </c>
      <c r="B40" s="91" t="s">
        <v>245</v>
      </c>
      <c r="C40" s="92" t="s">
        <v>275</v>
      </c>
      <c r="D40" s="92"/>
      <c r="E40" s="84"/>
    </row>
    <row r="41" spans="1:5" ht="15.75">
      <c r="A41" s="78" t="s">
        <v>214</v>
      </c>
      <c r="B41" s="91" t="s">
        <v>252</v>
      </c>
      <c r="C41" s="92" t="s">
        <v>140</v>
      </c>
      <c r="D41" s="92"/>
      <c r="E41" s="84"/>
    </row>
    <row r="42" spans="1:5" ht="31.5">
      <c r="A42" s="78" t="s">
        <v>215</v>
      </c>
      <c r="B42" s="91" t="s">
        <v>270</v>
      </c>
      <c r="C42" s="92" t="s">
        <v>142</v>
      </c>
      <c r="D42" s="92"/>
      <c r="E42" s="84"/>
    </row>
    <row r="43" spans="1:5" ht="15.75">
      <c r="A43" s="78" t="s">
        <v>216</v>
      </c>
      <c r="B43" s="91" t="s">
        <v>45</v>
      </c>
      <c r="C43" s="92" t="s">
        <v>141</v>
      </c>
      <c r="D43" s="92"/>
      <c r="E43" s="84"/>
    </row>
    <row r="44" spans="1:5" ht="31.5">
      <c r="A44" s="78" t="s">
        <v>217</v>
      </c>
      <c r="B44" s="91" t="s">
        <v>49</v>
      </c>
      <c r="C44" s="92" t="s">
        <v>143</v>
      </c>
      <c r="D44" s="92"/>
      <c r="E44" s="84"/>
    </row>
    <row r="45" spans="1:5" ht="15.75">
      <c r="A45" s="78" t="s">
        <v>218</v>
      </c>
      <c r="B45" s="91" t="s">
        <v>51</v>
      </c>
      <c r="C45" s="92" t="s">
        <v>144</v>
      </c>
      <c r="D45" s="92"/>
      <c r="E45" s="84"/>
    </row>
    <row r="46" spans="1:5" ht="15.75">
      <c r="A46" s="78" t="s">
        <v>219</v>
      </c>
      <c r="B46" s="91" t="s">
        <v>206</v>
      </c>
      <c r="C46" s="92"/>
      <c r="D46" s="92"/>
      <c r="E46" s="84"/>
    </row>
    <row r="47" spans="1:5" ht="15.75">
      <c r="A47" s="78" t="s">
        <v>248</v>
      </c>
      <c r="B47" s="91" t="s">
        <v>207</v>
      </c>
      <c r="C47" s="92"/>
      <c r="D47" s="92"/>
      <c r="E47" s="84"/>
    </row>
    <row r="48" spans="1:5" ht="15.75">
      <c r="A48" s="78" t="s">
        <v>249</v>
      </c>
      <c r="B48" s="91" t="s">
        <v>53</v>
      </c>
      <c r="C48" s="92" t="s">
        <v>145</v>
      </c>
      <c r="D48" s="92"/>
      <c r="E48" s="84"/>
    </row>
    <row r="49" spans="1:5" ht="47.25">
      <c r="A49" s="78" t="s">
        <v>62</v>
      </c>
      <c r="B49" s="88" t="s">
        <v>289</v>
      </c>
      <c r="C49" s="90" t="s">
        <v>295</v>
      </c>
      <c r="D49" s="90"/>
      <c r="E49" s="84" t="s">
        <v>296</v>
      </c>
    </row>
    <row r="50" spans="1:5" ht="15.75">
      <c r="A50" s="78" t="s">
        <v>63</v>
      </c>
      <c r="B50" s="91" t="s">
        <v>37</v>
      </c>
      <c r="C50" s="92" t="s">
        <v>297</v>
      </c>
      <c r="D50" s="92"/>
      <c r="E50" s="84"/>
    </row>
    <row r="51" spans="1:5" ht="15.75">
      <c r="A51" s="78" t="s">
        <v>64</v>
      </c>
      <c r="B51" s="91" t="s">
        <v>39</v>
      </c>
      <c r="C51" s="92" t="s">
        <v>298</v>
      </c>
      <c r="D51" s="92"/>
      <c r="E51" s="84"/>
    </row>
    <row r="52" spans="1:5" ht="31.5">
      <c r="A52" s="78" t="s">
        <v>65</v>
      </c>
      <c r="B52" s="91" t="s">
        <v>243</v>
      </c>
      <c r="C52" s="92" t="s">
        <v>299</v>
      </c>
      <c r="D52" s="92"/>
      <c r="E52" s="84"/>
    </row>
    <row r="53" spans="1:5" ht="15.75">
      <c r="A53" s="78" t="s">
        <v>66</v>
      </c>
      <c r="B53" s="91" t="s">
        <v>41</v>
      </c>
      <c r="C53" s="92" t="s">
        <v>300</v>
      </c>
      <c r="D53" s="92"/>
      <c r="E53" s="84"/>
    </row>
    <row r="54" spans="1:5" ht="15.75">
      <c r="A54" s="78" t="s">
        <v>67</v>
      </c>
      <c r="B54" s="91" t="s">
        <v>245</v>
      </c>
      <c r="C54" s="92" t="s">
        <v>301</v>
      </c>
      <c r="D54" s="92"/>
      <c r="E54" s="84"/>
    </row>
    <row r="55" spans="1:5" ht="15.75">
      <c r="A55" s="78" t="s">
        <v>68</v>
      </c>
      <c r="B55" s="91" t="s">
        <v>252</v>
      </c>
      <c r="C55" s="92" t="s">
        <v>302</v>
      </c>
      <c r="D55" s="92"/>
      <c r="E55" s="84"/>
    </row>
    <row r="56" spans="1:5" ht="31.5">
      <c r="A56" s="78" t="s">
        <v>69</v>
      </c>
      <c r="B56" s="91" t="s">
        <v>270</v>
      </c>
      <c r="C56" s="92" t="s">
        <v>303</v>
      </c>
      <c r="D56" s="92"/>
      <c r="E56" s="84"/>
    </row>
    <row r="57" spans="1:5" ht="15.75">
      <c r="A57" s="78" t="s">
        <v>70</v>
      </c>
      <c r="B57" s="91" t="s">
        <v>45</v>
      </c>
      <c r="C57" s="92" t="s">
        <v>304</v>
      </c>
      <c r="D57" s="92"/>
      <c r="E57" s="84"/>
    </row>
    <row r="58" spans="1:5" ht="15.75">
      <c r="A58" s="78" t="s">
        <v>71</v>
      </c>
      <c r="B58" s="91" t="s">
        <v>49</v>
      </c>
      <c r="C58" s="92" t="s">
        <v>305</v>
      </c>
      <c r="D58" s="92"/>
      <c r="E58" s="84"/>
    </row>
    <row r="59" spans="1:5" ht="15.75">
      <c r="A59" s="78" t="s">
        <v>261</v>
      </c>
      <c r="B59" s="91" t="s">
        <v>51</v>
      </c>
      <c r="C59" s="92" t="s">
        <v>306</v>
      </c>
      <c r="D59" s="92"/>
      <c r="E59" s="84"/>
    </row>
    <row r="60" spans="1:5" ht="15.75">
      <c r="A60" s="78" t="s">
        <v>262</v>
      </c>
      <c r="B60" s="91" t="s">
        <v>206</v>
      </c>
      <c r="C60" s="92" t="s">
        <v>307</v>
      </c>
      <c r="D60" s="92"/>
      <c r="E60" s="84"/>
    </row>
    <row r="61" spans="1:5" ht="15.75">
      <c r="A61" s="78" t="s">
        <v>263</v>
      </c>
      <c r="B61" s="91" t="s">
        <v>207</v>
      </c>
      <c r="C61" s="92" t="s">
        <v>308</v>
      </c>
      <c r="D61" s="92"/>
      <c r="E61" s="84"/>
    </row>
    <row r="62" spans="1:5" ht="15.75">
      <c r="A62" s="78" t="s">
        <v>264</v>
      </c>
      <c r="B62" s="91" t="s">
        <v>334</v>
      </c>
      <c r="C62" s="92" t="s">
        <v>339</v>
      </c>
      <c r="D62" s="92"/>
      <c r="E62" s="84"/>
    </row>
    <row r="63" spans="1:5" ht="15.75">
      <c r="A63" s="78" t="s">
        <v>336</v>
      </c>
      <c r="B63" s="91" t="s">
        <v>53</v>
      </c>
      <c r="C63" s="92" t="s">
        <v>309</v>
      </c>
      <c r="D63" s="92"/>
      <c r="E63" s="84"/>
    </row>
    <row r="64" spans="1:5" ht="15.75">
      <c r="A64" s="78" t="s">
        <v>72</v>
      </c>
      <c r="B64" s="85" t="s">
        <v>73</v>
      </c>
      <c r="C64" s="78" t="s">
        <v>146</v>
      </c>
      <c r="D64" s="78"/>
      <c r="E64" s="84"/>
    </row>
    <row r="65" spans="1:5" ht="15.75">
      <c r="A65" s="78" t="s">
        <v>74</v>
      </c>
      <c r="B65" s="88" t="s">
        <v>75</v>
      </c>
      <c r="C65" s="90" t="s">
        <v>147</v>
      </c>
      <c r="D65" s="90"/>
      <c r="E65" s="84"/>
    </row>
    <row r="66" spans="1:5" ht="15.75">
      <c r="A66" s="78" t="s">
        <v>76</v>
      </c>
      <c r="B66" s="91" t="s">
        <v>37</v>
      </c>
      <c r="C66" s="92" t="s">
        <v>148</v>
      </c>
      <c r="D66" s="92"/>
      <c r="E66" s="84"/>
    </row>
    <row r="67" spans="1:5" ht="15.75">
      <c r="A67" s="78" t="s">
        <v>77</v>
      </c>
      <c r="B67" s="91" t="s">
        <v>39</v>
      </c>
      <c r="C67" s="92" t="s">
        <v>149</v>
      </c>
      <c r="D67" s="92"/>
      <c r="E67" s="84"/>
    </row>
    <row r="68" spans="1:5" ht="15.75">
      <c r="A68" s="78" t="s">
        <v>78</v>
      </c>
      <c r="B68" s="91" t="s">
        <v>243</v>
      </c>
      <c r="C68" s="92" t="s">
        <v>277</v>
      </c>
      <c r="D68" s="92"/>
      <c r="E68" s="84"/>
    </row>
    <row r="69" spans="1:5" ht="15.75">
      <c r="A69" s="78" t="s">
        <v>79</v>
      </c>
      <c r="B69" s="91" t="s">
        <v>41</v>
      </c>
      <c r="C69" s="92" t="s">
        <v>150</v>
      </c>
      <c r="D69" s="92"/>
      <c r="E69" s="84"/>
    </row>
    <row r="70" spans="1:5" ht="15.75">
      <c r="A70" s="78" t="s">
        <v>80</v>
      </c>
      <c r="B70" s="91" t="s">
        <v>245</v>
      </c>
      <c r="C70" s="92" t="s">
        <v>278</v>
      </c>
      <c r="D70" s="92"/>
      <c r="E70" s="84"/>
    </row>
    <row r="71" spans="1:5" ht="15.75">
      <c r="A71" s="78" t="s">
        <v>81</v>
      </c>
      <c r="B71" s="91" t="s">
        <v>252</v>
      </c>
      <c r="C71" s="92" t="s">
        <v>151</v>
      </c>
      <c r="D71" s="92"/>
      <c r="E71" s="84"/>
    </row>
    <row r="72" spans="1:5" ht="15.75">
      <c r="A72" s="78" t="s">
        <v>82</v>
      </c>
      <c r="B72" s="91" t="s">
        <v>270</v>
      </c>
      <c r="C72" s="92" t="s">
        <v>153</v>
      </c>
      <c r="D72" s="92"/>
      <c r="E72" s="84"/>
    </row>
    <row r="73" spans="1:5" ht="15.75">
      <c r="A73" s="78" t="s">
        <v>83</v>
      </c>
      <c r="B73" s="91" t="s">
        <v>45</v>
      </c>
      <c r="C73" s="92" t="s">
        <v>152</v>
      </c>
      <c r="D73" s="92"/>
      <c r="E73" s="84"/>
    </row>
    <row r="74" spans="1:5" ht="15.75">
      <c r="A74" s="78" t="s">
        <v>84</v>
      </c>
      <c r="B74" s="91" t="s">
        <v>49</v>
      </c>
      <c r="C74" s="92" t="s">
        <v>154</v>
      </c>
      <c r="D74" s="92"/>
      <c r="E74" s="84"/>
    </row>
    <row r="75" spans="1:5" ht="15.75">
      <c r="A75" s="78" t="s">
        <v>265</v>
      </c>
      <c r="B75" s="91" t="s">
        <v>51</v>
      </c>
      <c r="C75" s="92" t="s">
        <v>155</v>
      </c>
      <c r="D75" s="92"/>
      <c r="E75" s="84"/>
    </row>
    <row r="76" spans="1:5" ht="15.75">
      <c r="A76" s="78" t="s">
        <v>266</v>
      </c>
      <c r="B76" s="91" t="s">
        <v>206</v>
      </c>
      <c r="C76" s="92" t="s">
        <v>279</v>
      </c>
      <c r="D76" s="92"/>
      <c r="E76" s="84"/>
    </row>
    <row r="77" spans="1:5" ht="15.75">
      <c r="A77" s="78" t="s">
        <v>267</v>
      </c>
      <c r="B77" s="91" t="s">
        <v>207</v>
      </c>
      <c r="C77" s="92" t="s">
        <v>280</v>
      </c>
      <c r="D77" s="92"/>
      <c r="E77" s="84"/>
    </row>
    <row r="78" spans="1:5" ht="15.75">
      <c r="A78" s="78" t="s">
        <v>268</v>
      </c>
      <c r="B78" s="91" t="s">
        <v>334</v>
      </c>
      <c r="C78" s="92" t="s">
        <v>340</v>
      </c>
      <c r="D78" s="92"/>
      <c r="E78" s="84"/>
    </row>
    <row r="79" spans="1:5" ht="15.75">
      <c r="A79" s="78" t="s">
        <v>337</v>
      </c>
      <c r="B79" s="91" t="s">
        <v>53</v>
      </c>
      <c r="C79" s="92" t="s">
        <v>156</v>
      </c>
      <c r="D79" s="92"/>
      <c r="E79" s="84"/>
    </row>
    <row r="80" spans="1:5" ht="15.75">
      <c r="A80" s="78" t="s">
        <v>85</v>
      </c>
      <c r="B80" s="89" t="s">
        <v>329</v>
      </c>
      <c r="C80" s="89" t="s">
        <v>342</v>
      </c>
      <c r="D80" s="92"/>
      <c r="E80" s="84" t="s">
        <v>157</v>
      </c>
    </row>
    <row r="81" spans="1:5" ht="15.75">
      <c r="A81" s="78" t="s">
        <v>328</v>
      </c>
      <c r="B81" s="93" t="s">
        <v>341</v>
      </c>
      <c r="C81" s="78" t="s">
        <v>341</v>
      </c>
      <c r="D81" s="78"/>
      <c r="E81" s="84" t="s">
        <v>157</v>
      </c>
    </row>
    <row r="84" spans="1:5" ht="46.5">
      <c r="A84" s="4"/>
      <c r="B84" s="95" t="s">
        <v>86</v>
      </c>
      <c r="C84" s="95"/>
      <c r="D84" s="95"/>
      <c r="E84" s="96"/>
    </row>
    <row r="85" spans="1:5" ht="15.75">
      <c r="A85" s="3"/>
      <c r="B85" s="196" t="s">
        <v>158</v>
      </c>
      <c r="C85" s="196"/>
      <c r="D85" s="196"/>
      <c r="E85" s="196" t="s">
        <v>159</v>
      </c>
    </row>
    <row r="86" spans="1:5" ht="30">
      <c r="A86" s="78"/>
      <c r="B86" s="78" t="s">
        <v>281</v>
      </c>
      <c r="C86" s="78" t="s">
        <v>283</v>
      </c>
      <c r="D86" s="78"/>
      <c r="E86" s="78" t="s">
        <v>284</v>
      </c>
    </row>
    <row r="87" spans="1:5">
      <c r="A87" s="78"/>
      <c r="B87" s="78" t="s">
        <v>239</v>
      </c>
      <c r="C87" s="78" t="s">
        <v>286</v>
      </c>
      <c r="D87" s="78"/>
      <c r="E87" s="78" t="s">
        <v>285</v>
      </c>
    </row>
    <row r="88" spans="1:5" ht="30">
      <c r="A88" s="78"/>
      <c r="B88" s="78" t="s">
        <v>238</v>
      </c>
      <c r="C88" s="78" t="s">
        <v>287</v>
      </c>
      <c r="D88" s="78"/>
      <c r="E88" s="78" t="s">
        <v>32</v>
      </c>
    </row>
    <row r="89" spans="1:5" ht="30">
      <c r="A89" s="78"/>
      <c r="B89" s="78" t="s">
        <v>237</v>
      </c>
      <c r="C89" s="78" t="s">
        <v>160</v>
      </c>
      <c r="D89" s="78"/>
      <c r="E89" s="78" t="s">
        <v>161</v>
      </c>
    </row>
    <row r="90" spans="1:5" ht="15.75">
      <c r="A90" s="78"/>
      <c r="B90" s="78" t="s">
        <v>93</v>
      </c>
      <c r="C90" s="78" t="s">
        <v>162</v>
      </c>
      <c r="D90" s="78"/>
      <c r="E90" s="94" t="s">
        <v>163</v>
      </c>
    </row>
    <row r="91" spans="1:5">
      <c r="A91" s="78"/>
      <c r="B91" s="78" t="s">
        <v>253</v>
      </c>
      <c r="C91" s="78"/>
      <c r="D91" s="78"/>
      <c r="E91" s="78"/>
    </row>
    <row r="92" spans="1:5">
      <c r="A92" s="78"/>
      <c r="B92" s="78" t="s">
        <v>254</v>
      </c>
      <c r="C92" s="78"/>
      <c r="D92" s="78"/>
      <c r="E92" s="78"/>
    </row>
    <row r="93" spans="1:5">
      <c r="A93" s="78"/>
      <c r="B93" s="78" t="s">
        <v>255</v>
      </c>
      <c r="C93" s="78"/>
      <c r="D93" s="78"/>
      <c r="E93" s="78"/>
    </row>
    <row r="94" spans="1:5">
      <c r="A94" s="78"/>
      <c r="B94" s="78" t="s">
        <v>98</v>
      </c>
      <c r="C94" s="78" t="s">
        <v>164</v>
      </c>
      <c r="D94" s="78"/>
      <c r="E94" s="78" t="s">
        <v>34</v>
      </c>
    </row>
    <row r="95" spans="1:5">
      <c r="A95" s="78"/>
      <c r="B95" s="78" t="s">
        <v>99</v>
      </c>
      <c r="C95" s="78" t="s">
        <v>165</v>
      </c>
      <c r="D95" s="78"/>
      <c r="E95" s="78" t="s">
        <v>34</v>
      </c>
    </row>
    <row r="96" spans="1:5" ht="30">
      <c r="A96" s="78"/>
      <c r="B96" s="78" t="s">
        <v>310</v>
      </c>
      <c r="C96" s="78" t="s">
        <v>343</v>
      </c>
      <c r="D96" s="78"/>
      <c r="E96" s="78" t="s">
        <v>34</v>
      </c>
    </row>
    <row r="97" spans="1:5">
      <c r="A97" s="78"/>
      <c r="B97" s="78" t="s">
        <v>293</v>
      </c>
      <c r="C97" s="78" t="s">
        <v>344</v>
      </c>
      <c r="D97" s="78"/>
      <c r="E97" s="78" t="s">
        <v>34</v>
      </c>
    </row>
    <row r="98" spans="1:5" ht="30">
      <c r="A98" s="78"/>
      <c r="B98" s="78" t="s">
        <v>282</v>
      </c>
      <c r="C98" s="78" t="s">
        <v>345</v>
      </c>
      <c r="D98" s="78"/>
      <c r="E98" s="78" t="s">
        <v>34</v>
      </c>
    </row>
  </sheetData>
  <mergeCells count="1">
    <mergeCell ref="B1:C1"/>
  </mergeCells>
  <phoneticPr fontId="4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Alternate reporting template</vt:lpstr>
      <vt:lpstr>Core indicators_clinic1</vt:lpstr>
      <vt:lpstr>Core indicators_clinic2</vt:lpstr>
      <vt:lpstr>PEN-Plus Expansion Narrative</vt:lpstr>
      <vt:lpstr>Core indicators_Definitions</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Devashri Salvi</dc:creator>
  <cp:lastModifiedBy>elizabeth</cp:lastModifiedBy>
  <cp:revision/>
  <dcterms:created xsi:type="dcterms:W3CDTF">2021-11-16T14:17:54Z</dcterms:created>
  <dcterms:modified xsi:type="dcterms:W3CDTF">2024-10-10T12:26:16Z</dcterms:modified>
</cp:coreProperties>
</file>